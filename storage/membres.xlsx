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roy/Desktop/Classeur/Liste des membres/"/>
    </mc:Choice>
  </mc:AlternateContent>
  <xr:revisionPtr revIDLastSave="0" documentId="13_ncr:1_{362ABC6F-DF8C-7E46-849C-935B4F88840D}" xr6:coauthVersionLast="47" xr6:coauthVersionMax="47" xr10:uidLastSave="{00000000-0000-0000-0000-000000000000}"/>
  <bookViews>
    <workbookView xWindow="300" yWindow="980" windowWidth="29100" windowHeight="16880" xr2:uid="{40992862-2F74-C042-8CEA-D5908692E421}"/>
  </bookViews>
  <sheets>
    <sheet name="Membres" sheetId="1" r:id="rId1"/>
    <sheet name="Non-memb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F112" i="1"/>
  <c r="F99" i="1"/>
  <c r="B104" i="1"/>
  <c r="F28" i="2"/>
  <c r="F104" i="1" l="1"/>
</calcChain>
</file>

<file path=xl/sharedStrings.xml><?xml version="1.0" encoding="utf-8"?>
<sst xmlns="http://schemas.openxmlformats.org/spreadsheetml/2006/main" count="542" uniqueCount="370">
  <si>
    <t>Propriétaire</t>
  </si>
  <si>
    <t>Nom du Cinéma</t>
  </si>
  <si>
    <t>Lieu</t>
  </si>
  <si>
    <t>Courriel</t>
  </si>
  <si>
    <t>Ciné-Centre Baie-Comeau</t>
  </si>
  <si>
    <t>Baie-Comeau</t>
  </si>
  <si>
    <t>Téléphone</t>
  </si>
  <si>
    <t>Ciné-Centre Sept-Îles</t>
  </si>
  <si>
    <t>Sept-Îles</t>
  </si>
  <si>
    <t>yfontaine@azurdivertissements.com</t>
  </si>
  <si>
    <t>Ciné-Parc Orford</t>
  </si>
  <si>
    <t>Ciné-Parc Paradiso</t>
  </si>
  <si>
    <t>Rodrigue Huard</t>
  </si>
  <si>
    <t>rodriguehuard@hotmail.com</t>
  </si>
  <si>
    <t>418 689-3777</t>
  </si>
  <si>
    <t>Chandler</t>
  </si>
  <si>
    <t>Ciné-Parc St-Hilaire</t>
  </si>
  <si>
    <t>Kevin Pateneaude</t>
  </si>
  <si>
    <t>kpatenaude@cine-parc.com</t>
  </si>
  <si>
    <t>450 467-0402</t>
  </si>
  <si>
    <t>Cinéma 7 St-Hyacinthe</t>
  </si>
  <si>
    <t>St-Hyacinthe</t>
  </si>
  <si>
    <t>gvenne@cinemasrgfm.com</t>
  </si>
  <si>
    <t>450 756-4377</t>
  </si>
  <si>
    <t>Cinéma 7 Valleyfield</t>
  </si>
  <si>
    <t>Valleyfield</t>
  </si>
  <si>
    <t>Antoine Zeind</t>
  </si>
  <si>
    <t>azeind@hotmail.com</t>
  </si>
  <si>
    <t>450 371-2114</t>
  </si>
  <si>
    <t>Cinéma 9</t>
  </si>
  <si>
    <t>Gatineau</t>
  </si>
  <si>
    <t>Cinéma Alouette</t>
  </si>
  <si>
    <t>Saint-Raymond</t>
  </si>
  <si>
    <t>418 337-2465</t>
  </si>
  <si>
    <t>cinemaalouette@gmail.com</t>
  </si>
  <si>
    <t>Cinéma Amos</t>
  </si>
  <si>
    <t>Joane Savoie</t>
  </si>
  <si>
    <t>Amos</t>
  </si>
  <si>
    <t>819 732-2549</t>
  </si>
  <si>
    <t>cinemaamos@ticketacces.net</t>
  </si>
  <si>
    <t>Jonquière</t>
  </si>
  <si>
    <t>Raffaele Papalia</t>
  </si>
  <si>
    <t>Cinéma Apéro</t>
  </si>
  <si>
    <t>Cinéma Beaubien</t>
  </si>
  <si>
    <t>Montréal</t>
  </si>
  <si>
    <t>Roxanne Sayegh</t>
  </si>
  <si>
    <t>514-625-4268</t>
  </si>
  <si>
    <t>roxanne@cinemabeaubien.com</t>
  </si>
  <si>
    <t>Cinéma Beloeil</t>
  </si>
  <si>
    <t>Beloeil</t>
  </si>
  <si>
    <t>Cinéma Biermans</t>
  </si>
  <si>
    <t>Mélanie Bellerive</t>
  </si>
  <si>
    <t>mbellerive@groupecirtech.com</t>
  </si>
  <si>
    <t>819-221-3400</t>
  </si>
  <si>
    <t>Cinéma Capitol</t>
  </si>
  <si>
    <t>cinema.capitol@outlook.com</t>
  </si>
  <si>
    <t>819 874-3207</t>
  </si>
  <si>
    <t>Val-d'Or</t>
  </si>
  <si>
    <t>Drummondville</t>
  </si>
  <si>
    <t>Cinéma Carnaval</t>
  </si>
  <si>
    <t>Châteauguay</t>
  </si>
  <si>
    <t>shiraztajdin@gmail.com</t>
  </si>
  <si>
    <t>514 928-1817</t>
  </si>
  <si>
    <t>Cinéma Carrefour du Nord</t>
  </si>
  <si>
    <t>Saint-Jérôme</t>
  </si>
  <si>
    <t>Éric Bouchard</t>
  </si>
  <si>
    <t>ebouchard@cinemasteustache.ca</t>
  </si>
  <si>
    <t>450 436-9083</t>
  </si>
  <si>
    <t>Cinéma Cartier</t>
  </si>
  <si>
    <t>Québec</t>
  </si>
  <si>
    <t>Stéphane Morin</t>
  </si>
  <si>
    <t>Cinéma Centre-Ville</t>
  </si>
  <si>
    <t>Saint-Georges</t>
  </si>
  <si>
    <t>cinemacv@cgocable.ca</t>
  </si>
  <si>
    <t>Dolbeau-Mistassini</t>
  </si>
  <si>
    <t>Alma</t>
  </si>
  <si>
    <t>info@cinemacomplexealma.com</t>
  </si>
  <si>
    <t>418 662-3456 Poste 104</t>
  </si>
  <si>
    <t>Cinéma Dégelis</t>
  </si>
  <si>
    <t>Dégelis</t>
  </si>
  <si>
    <t>Isabelle Pelletier</t>
  </si>
  <si>
    <t>ipelletier@degelis.ca</t>
  </si>
  <si>
    <t>Cinéma du Cap</t>
  </si>
  <si>
    <t>Trois-Rivières</t>
  </si>
  <si>
    <t>Cinéma du Centre</t>
  </si>
  <si>
    <t>Caraquet</t>
  </si>
  <si>
    <t>Pier-Luc Plourde</t>
  </si>
  <si>
    <t>506 888-4848</t>
  </si>
  <si>
    <t>direction@cinemaducentre.ca</t>
  </si>
  <si>
    <t>Cinéma du Musée</t>
  </si>
  <si>
    <t>Cinéma du Parc</t>
  </si>
  <si>
    <t>Cinéma Du Rift</t>
  </si>
  <si>
    <t>Ville-Marie</t>
  </si>
  <si>
    <t>Cinéma Du Zoo</t>
  </si>
  <si>
    <t>Saint-Félicien</t>
  </si>
  <si>
    <t>418 679-0543</t>
  </si>
  <si>
    <t>joel.phaneuf@zoosauvage.org</t>
  </si>
  <si>
    <t>Joel Phaneuf</t>
  </si>
  <si>
    <t>Cinéma Élysée</t>
  </si>
  <si>
    <t>Granby</t>
  </si>
  <si>
    <t>Cinéma Figaro</t>
  </si>
  <si>
    <t>cinema.amqui@gmail.com</t>
  </si>
  <si>
    <t>Amqui</t>
  </si>
  <si>
    <t>Cinéma Fleur de Lys</t>
  </si>
  <si>
    <t>Cinéma Gaieté</t>
  </si>
  <si>
    <t>Matane</t>
  </si>
  <si>
    <t>Jacques Desjardins</t>
  </si>
  <si>
    <t>Cinéma Laurier</t>
  </si>
  <si>
    <t>Caroline Venne</t>
  </si>
  <si>
    <t>819 440-9846</t>
  </si>
  <si>
    <t>Mont-Laurier</t>
  </si>
  <si>
    <t>Cinéma Le Clap</t>
  </si>
  <si>
    <t>Robin Plamondon</t>
  </si>
  <si>
    <t>robin.plamondon@clap.ca</t>
  </si>
  <si>
    <t>418 653-2470</t>
  </si>
  <si>
    <t>Marie-Josée D'Anjou</t>
  </si>
  <si>
    <t>Cinéma Le Scénario</t>
  </si>
  <si>
    <t>La Pocatière</t>
  </si>
  <si>
    <t>marie@cinemalescenario.com</t>
  </si>
  <si>
    <t>Cinéma Le Tapis Rouge</t>
  </si>
  <si>
    <t>Joël Côté</t>
  </si>
  <si>
    <t>radio993@hotmail.com</t>
  </si>
  <si>
    <t>819 570-1046</t>
  </si>
  <si>
    <t>Cinéma Lido</t>
  </si>
  <si>
    <t>Rimouski</t>
  </si>
  <si>
    <t>418 722-0062</t>
  </si>
  <si>
    <t>info@lidorimouski.com</t>
  </si>
  <si>
    <t>Alain Chamberland</t>
  </si>
  <si>
    <t>cinlouis@videotron.ca</t>
  </si>
  <si>
    <t>Cinéma Louise</t>
  </si>
  <si>
    <t>St-Pacôme</t>
  </si>
  <si>
    <t>Cinéma Lumière</t>
  </si>
  <si>
    <t>Ste-Marie de Beauce</t>
  </si>
  <si>
    <t>Écrans</t>
  </si>
  <si>
    <t>Capacité totale</t>
  </si>
  <si>
    <t>Cinéma Magog</t>
  </si>
  <si>
    <t>François Pradella &amp; Yvan Fontaine</t>
  </si>
  <si>
    <t>Magog</t>
  </si>
  <si>
    <t>Cinéma Mégantic</t>
  </si>
  <si>
    <t>François Painchaud</t>
  </si>
  <si>
    <t>cinemamegantic@hotmail.ca</t>
  </si>
  <si>
    <t>819 583-4878</t>
  </si>
  <si>
    <t>Mégantic</t>
  </si>
  <si>
    <t>Cinéma Moderne</t>
  </si>
  <si>
    <t>Alexandre Domingue</t>
  </si>
  <si>
    <t>alex@post-moderne.com</t>
  </si>
  <si>
    <t>Cinéma Montmagny</t>
  </si>
  <si>
    <t>Cynthia Lamontagne</t>
  </si>
  <si>
    <t>com@adls.ca</t>
  </si>
  <si>
    <t>418 241-5799 poste 104</t>
  </si>
  <si>
    <t>Montmagny</t>
  </si>
  <si>
    <t>Cinéma Odyssée</t>
  </si>
  <si>
    <t>Chicoutimi</t>
  </si>
  <si>
    <t>Cinéma Paradiso</t>
  </si>
  <si>
    <t>819 762-7272</t>
  </si>
  <si>
    <t>Pierre Gaudreault</t>
  </si>
  <si>
    <t>info@cinemaparamount.com</t>
  </si>
  <si>
    <t>Denis Hurtubise &amp; Alexandre Hurtubise</t>
  </si>
  <si>
    <t>Cinéma Péninsule</t>
  </si>
  <si>
    <t>506 393-3456</t>
  </si>
  <si>
    <t>Christina Mazerolle</t>
  </si>
  <si>
    <t>admin@cinemapeninsule.ca</t>
  </si>
  <si>
    <t>Tracadie-Sheila</t>
  </si>
  <si>
    <t>Cinéma Pigalle</t>
  </si>
  <si>
    <t>Pier-Olivier Lacroix</t>
  </si>
  <si>
    <t>418 225-2019</t>
  </si>
  <si>
    <t>cinemapigalle@hotmail.com</t>
  </si>
  <si>
    <t>Thetford Mines</t>
  </si>
  <si>
    <t>450 229-4595</t>
  </si>
  <si>
    <t>Sainte-Adèle</t>
  </si>
  <si>
    <t>Cinéma Princess</t>
  </si>
  <si>
    <t>Cinéma Pine 1 &amp; 2</t>
  </si>
  <si>
    <t>450 777-6237</t>
  </si>
  <si>
    <t>Cowansville</t>
  </si>
  <si>
    <t>Cinéma Princesse</t>
  </si>
  <si>
    <t>Rivière-du-Loup</t>
  </si>
  <si>
    <t>Cinéma Public</t>
  </si>
  <si>
    <t>Aude Renaud-Lorrain</t>
  </si>
  <si>
    <t>aude@cinemapublic.ca</t>
  </si>
  <si>
    <t>514-805-2227</t>
  </si>
  <si>
    <t>Cinéma RGFM</t>
  </si>
  <si>
    <t>Guillaume Venne &amp; Frédéric Venne</t>
  </si>
  <si>
    <t>Joliette</t>
  </si>
  <si>
    <t>Cinéma St-Eustache</t>
  </si>
  <si>
    <t>St-Eustache</t>
  </si>
  <si>
    <t>Cinéma St-Laurent Sorel</t>
  </si>
  <si>
    <t>Sorel-Tracy</t>
  </si>
  <si>
    <t>Cinéma Triomphe</t>
  </si>
  <si>
    <t>Lachenaie</t>
  </si>
  <si>
    <t>rpapalia@cinentreprise.com</t>
  </si>
  <si>
    <t>Daniel Séguin</t>
  </si>
  <si>
    <t>daniel.seguin@cineplex.com</t>
  </si>
  <si>
    <t>Cinéplex Banque Scotia</t>
  </si>
  <si>
    <t>St-Jean-sur-Richelieu</t>
  </si>
  <si>
    <t>Cineplex Capitol St-Jean</t>
  </si>
  <si>
    <t>Cineplex Forum</t>
  </si>
  <si>
    <t>Cineplex Galaxy</t>
  </si>
  <si>
    <t>Victoriaville</t>
  </si>
  <si>
    <t>Cineplex IMAX Galeries de la Capitale</t>
  </si>
  <si>
    <t>Cineplex Kirkland</t>
  </si>
  <si>
    <t>Kirkland</t>
  </si>
  <si>
    <t>Cineplex Laval</t>
  </si>
  <si>
    <t>Laval</t>
  </si>
  <si>
    <t>Cineplex Odeon Beauport</t>
  </si>
  <si>
    <t>Cineplex Odeon Brossard</t>
  </si>
  <si>
    <t>Brossard</t>
  </si>
  <si>
    <t>Cineplex Odeon Carrefour Dorion</t>
  </si>
  <si>
    <t>Dorion</t>
  </si>
  <si>
    <t>Cineplex Odeon Quartier Latin</t>
  </si>
  <si>
    <t>Cineplex Odeon St-Bruno</t>
  </si>
  <si>
    <t>St-Bruno</t>
  </si>
  <si>
    <t>Cineplex Odeon Ste-Foy</t>
  </si>
  <si>
    <t>Ste-Foy - Québec</t>
  </si>
  <si>
    <t>Lasalle</t>
  </si>
  <si>
    <t>Famous Players Carrefour Angrignon</t>
  </si>
  <si>
    <t>Sherbrooke</t>
  </si>
  <si>
    <t>Cinéma Starcité Gatineau</t>
  </si>
  <si>
    <t>Cinéma Starcité Montréal</t>
  </si>
  <si>
    <t>cinemamatane@cgocable.ca</t>
  </si>
  <si>
    <t>Danny Lennon</t>
  </si>
  <si>
    <t>Cinéma Haskell</t>
  </si>
  <si>
    <t>dboylennon@gmail.com</t>
  </si>
  <si>
    <t>Cinéma Cineplex Galaxy Sherbrooke</t>
  </si>
  <si>
    <t>Sherbrooke (Rock Forest)</t>
  </si>
  <si>
    <t>Rouyn-Noranda</t>
  </si>
  <si>
    <t>Cinéma Paramount</t>
  </si>
  <si>
    <t>Charrette (Shawinigan)</t>
  </si>
  <si>
    <t>Ciné-Parc Belle-neige</t>
  </si>
  <si>
    <t>Val Morin</t>
  </si>
  <si>
    <t>Clarence McLaughlin</t>
  </si>
  <si>
    <t>Ciné-Parc Satellite Drive-In</t>
  </si>
  <si>
    <t>dg@belleneige.com</t>
  </si>
  <si>
    <t>cineparc@hotmail.com</t>
  </si>
  <si>
    <t>506 226-7444</t>
  </si>
  <si>
    <t>Membres APCQ</t>
  </si>
  <si>
    <t>NON-Membres</t>
  </si>
  <si>
    <t>Centre-Phi</t>
  </si>
  <si>
    <t>Cinémathèque québécoise</t>
  </si>
  <si>
    <t>Cinéma L'Amour</t>
  </si>
  <si>
    <t>Cinéma Le Cube</t>
  </si>
  <si>
    <t>Cinéma Lebel</t>
  </si>
  <si>
    <t>Cinéma Outremont</t>
  </si>
  <si>
    <t>Ciné-Parc St-Eustache</t>
  </si>
  <si>
    <t>Complexe Culture Félix-Leclerc</t>
  </si>
  <si>
    <t>Station Vu</t>
  </si>
  <si>
    <t>Ciné-Starz Burlington</t>
  </si>
  <si>
    <t>Ciné-Starz Orléans</t>
  </si>
  <si>
    <t>Ciné-Starz St Laurent</t>
  </si>
  <si>
    <t>Ciné-Starz Cöte des Neiges</t>
  </si>
  <si>
    <t>Ciné-Starz Deluxe Cavendish</t>
  </si>
  <si>
    <t>Ciné-Starz Langelier</t>
  </si>
  <si>
    <t>Burlington</t>
  </si>
  <si>
    <t>Orleans</t>
  </si>
  <si>
    <t>Ottawa</t>
  </si>
  <si>
    <t>Montréal (Côte St-Luc)</t>
  </si>
  <si>
    <t>Montréal (Saint-Léonard)</t>
  </si>
  <si>
    <t>Bruce Gurberg</t>
  </si>
  <si>
    <t>514 903-3300</t>
  </si>
  <si>
    <t>admin@cinestarz.ca</t>
  </si>
  <si>
    <t>Gaspé</t>
  </si>
  <si>
    <t>Lebel-sur-Quévillon</t>
  </si>
  <si>
    <t>La Tuque</t>
  </si>
  <si>
    <t>Fremont</t>
  </si>
  <si>
    <t>Outremont</t>
  </si>
  <si>
    <t>Méga-Plex Terrebonne 14 &amp; IMAX</t>
  </si>
  <si>
    <t>Ciné-Starz Taschereau 18 &amp; IMAX</t>
  </si>
  <si>
    <t>Ciné-Starz Jacques-Cartier 14</t>
  </si>
  <si>
    <t>Longueuil</t>
  </si>
  <si>
    <t>Terrebonne</t>
  </si>
  <si>
    <t>Vincent Guzzo</t>
  </si>
  <si>
    <t>vguzzo@cinemasguzzo.com</t>
  </si>
  <si>
    <r>
      <t>IMAX Telus</t>
    </r>
    <r>
      <rPr>
        <b/>
        <sz val="12"/>
        <color indexed="23"/>
        <rFont val="Aptos Display"/>
        <scheme val="major"/>
      </rPr>
      <t xml:space="preserve"> </t>
    </r>
    <r>
      <rPr>
        <sz val="12"/>
        <color indexed="8"/>
        <rFont val="Aptos Display"/>
        <scheme val="major"/>
      </rPr>
      <t>- Centre des Sciences</t>
    </r>
  </si>
  <si>
    <t>S.I.C.</t>
  </si>
  <si>
    <t>514-496-4724</t>
  </si>
  <si>
    <t>Pointe-aux-Trembles</t>
  </si>
  <si>
    <t>Mathieu Lefebvre</t>
  </si>
  <si>
    <t>info@stationvu.com</t>
  </si>
  <si>
    <t>514 717-5909</t>
  </si>
  <si>
    <t>HORS QUÉBEC</t>
  </si>
  <si>
    <t>418 368-8888</t>
  </si>
  <si>
    <t>cube@hotelbaker.ca</t>
  </si>
  <si>
    <t>819 755-4826</t>
  </si>
  <si>
    <t>(514) 495-9944</t>
  </si>
  <si>
    <t>GAËLLE GERBE-RAYNAUD</t>
  </si>
  <si>
    <t>gaelle.gerberaynaud@theatreoutremont.ca</t>
  </si>
  <si>
    <t>819 523-2600</t>
  </si>
  <si>
    <t>info@culturelatuque.com </t>
  </si>
  <si>
    <t>156+84</t>
  </si>
  <si>
    <t>info@cinematheque.qc.ca</t>
  </si>
  <si>
    <t>514 842-9763</t>
  </si>
  <si>
    <t>514 225-0525</t>
  </si>
  <si>
    <t>mchagnon@phi.ca</t>
  </si>
  <si>
    <t>FESP Fermont (Auditorium Alain Frappier)</t>
  </si>
  <si>
    <t>418-287-5471 poste 331</t>
  </si>
  <si>
    <t>spectaclesfermont@icloud.com</t>
  </si>
  <si>
    <t>Nathalie</t>
  </si>
  <si>
    <t>info@cinemalamour.com</t>
  </si>
  <si>
    <t>(514) 849-6227</t>
  </si>
  <si>
    <t>CINÉPLEX</t>
  </si>
  <si>
    <t>CINÉMAS RGFM</t>
  </si>
  <si>
    <t>CINÉ-ENTREPRISE</t>
  </si>
  <si>
    <t>CINÉ STARZ</t>
  </si>
  <si>
    <t>418 689-9828</t>
  </si>
  <si>
    <t>450 581-5757</t>
  </si>
  <si>
    <t>514-944-0150</t>
  </si>
  <si>
    <t>mapst.eustache@gmail.com</t>
  </si>
  <si>
    <t>450 472-6660</t>
  </si>
  <si>
    <t>Groupe Mathers</t>
  </si>
  <si>
    <t>CINÉMAS AUTONOMES</t>
  </si>
  <si>
    <t>CINÉ-PARC</t>
  </si>
  <si>
    <t>Total de cinémas membres au Québec:</t>
  </si>
  <si>
    <t>Nombres d'écrans:</t>
  </si>
  <si>
    <t>Total de cinémas Cinéplex:</t>
  </si>
  <si>
    <r>
      <rPr>
        <b/>
        <sz val="16"/>
        <color theme="1"/>
        <rFont val="Aptos Narrow (Corps)"/>
      </rPr>
      <t>Total de cinémas autonomes membres</t>
    </r>
    <r>
      <rPr>
        <sz val="16"/>
        <color theme="1"/>
        <rFont val="Aptos Narrow (Corps)"/>
      </rPr>
      <t>:</t>
    </r>
  </si>
  <si>
    <t>Total d'écrans Cinéplex:</t>
  </si>
  <si>
    <t>Total d'écrans membres au Québec:</t>
  </si>
  <si>
    <t>Total d'écrans autonomes membres:</t>
  </si>
  <si>
    <t xml:space="preserve">Total de cinémas membres hors-Québec: </t>
  </si>
  <si>
    <t>Total d'écrans membres hors-Québec:</t>
  </si>
  <si>
    <t>Cinémas Starz HORS QUÉBEC</t>
  </si>
  <si>
    <t>Total de cinémas non-membres au Québec:</t>
  </si>
  <si>
    <t>CINÉ-PARCS</t>
  </si>
  <si>
    <t>Roberval</t>
  </si>
  <si>
    <t>AZUR DIVERTISSEMENTS</t>
  </si>
  <si>
    <t>Nicolas Vallière</t>
  </si>
  <si>
    <t>514-293-6950</t>
  </si>
  <si>
    <t>Cinéma RoylaMount</t>
  </si>
  <si>
    <t>Ste-Foy</t>
  </si>
  <si>
    <t>Alexandra Vincent-Paquin</t>
  </si>
  <si>
    <t>alexandra.lerift@gmail.com</t>
  </si>
  <si>
    <t>819-622-1362 - Poste 1001</t>
  </si>
  <si>
    <t>Perry Fermanian</t>
  </si>
  <si>
    <t>perry@cinemapine.com</t>
  </si>
  <si>
    <t>Jean-Jacques Gantois</t>
  </si>
  <si>
    <t>514 212-2316</t>
  </si>
  <si>
    <t>Manon Fournier</t>
  </si>
  <si>
    <t>3D</t>
  </si>
  <si>
    <t>Cinéma La maison du cinéma</t>
  </si>
  <si>
    <t>denis@denhur.qc.ca</t>
  </si>
  <si>
    <t>819 566-8782</t>
  </si>
  <si>
    <t>Capacité</t>
  </si>
  <si>
    <t>Nom du cinéma</t>
  </si>
  <si>
    <t>TOTAL 3D</t>
  </si>
  <si>
    <t>418 856-2386</t>
  </si>
  <si>
    <t>514 282-2087 #259</t>
  </si>
  <si>
    <t>418 725-8154</t>
  </si>
  <si>
    <t>Stanstead</t>
  </si>
  <si>
    <t>Paquetteville NB</t>
  </si>
  <si>
    <t>Christian Jomphe</t>
  </si>
  <si>
    <t>418 225-6343</t>
  </si>
  <si>
    <t>info@cinemalaurier.ca</t>
  </si>
  <si>
    <t>Québec (Loretteville)</t>
  </si>
  <si>
    <t>Cinéma Dolbeau-Mistassini (Chaplin II)</t>
  </si>
  <si>
    <t>Cinéma Roberval (Chaplin)</t>
  </si>
  <si>
    <t>Mont-St-Hilaire</t>
  </si>
  <si>
    <t>418-860-7673</t>
  </si>
  <si>
    <t>gerance@cinemaprincesse.com</t>
  </si>
  <si>
    <t>Laurence Lévesque Soucy</t>
  </si>
  <si>
    <t>418 860-3291</t>
  </si>
  <si>
    <t>Alexandre Leblanc</t>
  </si>
  <si>
    <t>cinecentre7iles@hotmail.com</t>
  </si>
  <si>
    <t>418-962-2463</t>
  </si>
  <si>
    <t>manon@quemardist.com</t>
  </si>
  <si>
    <t>418 681-5088 #219</t>
  </si>
  <si>
    <t>418 562-6042</t>
  </si>
  <si>
    <r>
      <t xml:space="preserve">Annie Plante &amp; </t>
    </r>
    <r>
      <rPr>
        <b/>
        <sz val="14"/>
        <color theme="1"/>
        <rFont val="Aptos Narrow"/>
        <scheme val="minor"/>
      </rPr>
      <t>Marco Drolet</t>
    </r>
  </si>
  <si>
    <t>418 853-2332 poste 4671</t>
  </si>
  <si>
    <t>Cinéma Complexe Alma</t>
  </si>
  <si>
    <r>
      <t xml:space="preserve">Louiselle Blais &amp; </t>
    </r>
    <r>
      <rPr>
        <b/>
        <sz val="14"/>
        <color theme="1"/>
        <rFont val="Aptos Narrow"/>
        <scheme val="minor"/>
      </rPr>
      <t>Lynda Guénette</t>
    </r>
  </si>
  <si>
    <r>
      <t xml:space="preserve">Shiraz Tajdin &amp; </t>
    </r>
    <r>
      <rPr>
        <b/>
        <sz val="14"/>
        <color theme="1"/>
        <rFont val="Aptos Narrow"/>
        <scheme val="minor"/>
      </rPr>
      <t>Faramarz Kaz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</si>
</sst>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2"/>
      <color theme="1"/>
      <name val="Aptos Narrow (Corps)"/>
    </font>
    <font>
      <sz val="22"/>
      <color theme="1"/>
      <name val="Aptos Narrow"/>
      <family val="2"/>
      <scheme val="minor"/>
    </font>
    <font>
      <sz val="12"/>
      <color indexed="8"/>
      <name val="Aptos Display"/>
      <scheme val="major"/>
    </font>
    <font>
      <b/>
      <sz val="12"/>
      <color indexed="23"/>
      <name val="Aptos Display"/>
      <scheme val="major"/>
    </font>
    <font>
      <b/>
      <sz val="12"/>
      <color theme="1"/>
      <name val="Aptos Narrow"/>
      <scheme val="minor"/>
    </font>
    <font>
      <sz val="16"/>
      <color theme="1"/>
      <name val="Aptos Narrow (Corps)"/>
    </font>
    <font>
      <b/>
      <sz val="16"/>
      <color theme="1"/>
      <name val="Aptos Narrow (Corps)"/>
    </font>
    <font>
      <sz val="12"/>
      <color theme="1"/>
      <name val="Aptos Narrow"/>
      <scheme val="minor"/>
    </font>
    <font>
      <sz val="16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6"/>
      <color rgb="FF000000"/>
      <name val="Aptos Display (En-têtes)"/>
    </font>
    <font>
      <b/>
      <sz val="14"/>
      <color theme="1"/>
      <name val="Aptos Narrow (Corps)"/>
    </font>
    <font>
      <u/>
      <sz val="14"/>
      <color theme="10"/>
      <name val="Aptos Narrow"/>
      <scheme val="minor"/>
    </font>
    <font>
      <b/>
      <u/>
      <sz val="14"/>
      <color theme="10"/>
      <name val="Aptos Narrow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rgb="FF000000"/>
      <name val="Aptos Narrow (Corps)"/>
    </font>
    <font>
      <sz val="14"/>
      <color theme="1"/>
      <name val="Aptos Narrow (Corps)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3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1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7" fillId="0" borderId="0" xfId="0" applyFont="1"/>
    <xf numFmtId="0" fontId="8" fillId="0" borderId="0" xfId="0" applyFont="1"/>
    <xf numFmtId="0" fontId="8" fillId="7" borderId="0" xfId="0" applyFont="1" applyFill="1"/>
    <xf numFmtId="0" fontId="0" fillId="7" borderId="0" xfId="0" applyFill="1"/>
    <xf numFmtId="0" fontId="1" fillId="7" borderId="0" xfId="1" applyFill="1"/>
    <xf numFmtId="0" fontId="8" fillId="8" borderId="0" xfId="0" applyFont="1" applyFill="1"/>
    <xf numFmtId="0" fontId="0" fillId="8" borderId="0" xfId="0" applyFill="1"/>
    <xf numFmtId="0" fontId="8" fillId="9" borderId="0" xfId="0" applyFont="1" applyFill="1"/>
    <xf numFmtId="0" fontId="0" fillId="9" borderId="0" xfId="0" applyFill="1"/>
    <xf numFmtId="0" fontId="1" fillId="0" borderId="0" xfId="1" applyBorder="1"/>
    <xf numFmtId="0" fontId="10" fillId="0" borderId="0" xfId="0" applyFont="1"/>
    <xf numFmtId="0" fontId="8" fillId="6" borderId="0" xfId="0" applyFont="1" applyFill="1"/>
    <xf numFmtId="0" fontId="11" fillId="0" borderId="0" xfId="0" applyFont="1"/>
    <xf numFmtId="0" fontId="11" fillId="7" borderId="0" xfId="0" applyFont="1" applyFill="1"/>
    <xf numFmtId="0" fontId="12" fillId="0" borderId="0" xfId="0" applyFont="1"/>
    <xf numFmtId="0" fontId="13" fillId="0" borderId="0" xfId="0" applyFont="1"/>
    <xf numFmtId="49" fontId="14" fillId="9" borderId="0" xfId="0" applyNumberFormat="1" applyFont="1" applyFill="1"/>
    <xf numFmtId="0" fontId="9" fillId="0" borderId="0" xfId="0" applyFont="1"/>
    <xf numFmtId="0" fontId="7" fillId="10" borderId="0" xfId="0" applyFont="1" applyFill="1"/>
    <xf numFmtId="0" fontId="0" fillId="10" borderId="0" xfId="0" applyFill="1"/>
    <xf numFmtId="0" fontId="15" fillId="0" borderId="0" xfId="0" applyFont="1"/>
    <xf numFmtId="0" fontId="9" fillId="9" borderId="0" xfId="0" applyFont="1" applyFill="1"/>
    <xf numFmtId="0" fontId="8" fillId="4" borderId="0" xfId="0" applyFont="1" applyFill="1"/>
    <xf numFmtId="0" fontId="16" fillId="0" borderId="0" xfId="1" applyFont="1"/>
    <xf numFmtId="0" fontId="17" fillId="0" borderId="0" xfId="1" applyFont="1"/>
    <xf numFmtId="3" fontId="12" fillId="0" borderId="0" xfId="0" applyNumberFormat="1" applyFont="1"/>
    <xf numFmtId="0" fontId="18" fillId="0" borderId="0" xfId="0" applyFont="1"/>
    <xf numFmtId="0" fontId="19" fillId="0" borderId="0" xfId="1" applyFont="1"/>
    <xf numFmtId="0" fontId="20" fillId="0" borderId="0" xfId="0" applyFont="1"/>
    <xf numFmtId="0" fontId="19" fillId="0" borderId="0" xfId="1" applyFont="1" applyFill="1"/>
    <xf numFmtId="0" fontId="21" fillId="0" borderId="0" xfId="0" applyFont="1"/>
    <xf numFmtId="0" fontId="9" fillId="11" borderId="0" xfId="0" applyFont="1" applyFill="1"/>
    <xf numFmtId="0" fontId="21" fillId="11" borderId="0" xfId="0" applyFont="1" applyFill="1"/>
    <xf numFmtId="0" fontId="11" fillId="11" borderId="0" xfId="0" applyFont="1" applyFill="1"/>
    <xf numFmtId="0" fontId="18" fillId="11" borderId="0" xfId="0" applyFont="1" applyFill="1"/>
    <xf numFmtId="0" fontId="8" fillId="11" borderId="0" xfId="0" applyFont="1" applyFill="1"/>
    <xf numFmtId="0" fontId="22" fillId="0" borderId="0" xfId="0" applyFont="1"/>
    <xf numFmtId="0" fontId="0" fillId="3" borderId="0" xfId="0" applyFill="1"/>
    <xf numFmtId="0" fontId="15" fillId="2" borderId="0" xfId="0" applyFont="1" applyFill="1"/>
    <xf numFmtId="0" fontId="23" fillId="0" borderId="0" xfId="0" applyFont="1"/>
    <xf numFmtId="0" fontId="12" fillId="3" borderId="0" xfId="0" applyFont="1" applyFill="1"/>
    <xf numFmtId="0" fontId="12" fillId="7" borderId="0" xfId="0" applyFont="1" applyFill="1"/>
    <xf numFmtId="0" fontId="12" fillId="4" borderId="0" xfId="0" applyFont="1" applyFill="1"/>
    <xf numFmtId="0" fontId="12" fillId="8" borderId="0" xfId="0" applyFont="1" applyFill="1"/>
    <xf numFmtId="0" fontId="12" fillId="12" borderId="0" xfId="0" applyFont="1" applyFill="1"/>
    <xf numFmtId="0" fontId="12" fillId="6" borderId="0" xfId="0" applyFont="1" applyFill="1"/>
    <xf numFmtId="0" fontId="15" fillId="11" borderId="0" xfId="0" applyFont="1" applyFill="1"/>
    <xf numFmtId="0" fontId="12" fillId="13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00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om@adls.ca" TargetMode="External"/><Relationship Id="rId21" Type="http://schemas.openxmlformats.org/officeDocument/2006/relationships/hyperlink" Target="mailto:radio993@hotmail.com" TargetMode="External"/><Relationship Id="rId42" Type="http://schemas.openxmlformats.org/officeDocument/2006/relationships/hyperlink" Target="mailto:daniel.seguin@cineplex.com" TargetMode="External"/><Relationship Id="rId47" Type="http://schemas.openxmlformats.org/officeDocument/2006/relationships/hyperlink" Target="mailto:daniel.seguin@cineplex.com" TargetMode="External"/><Relationship Id="rId63" Type="http://schemas.openxmlformats.org/officeDocument/2006/relationships/hyperlink" Target="mailto:gvenne@cinemasrgfm.com" TargetMode="External"/><Relationship Id="rId68" Type="http://schemas.openxmlformats.org/officeDocument/2006/relationships/hyperlink" Target="mailto:princesse.345@videotron.ca" TargetMode="External"/><Relationship Id="rId2" Type="http://schemas.openxmlformats.org/officeDocument/2006/relationships/hyperlink" Target="mailto:kpatenaude@cine-parc.com" TargetMode="External"/><Relationship Id="rId16" Type="http://schemas.openxmlformats.org/officeDocument/2006/relationships/hyperlink" Target="mailto:alexandra.lerift@gmail.com" TargetMode="External"/><Relationship Id="rId29" Type="http://schemas.openxmlformats.org/officeDocument/2006/relationships/hyperlink" Target="mailto:roxanne@cinemabeaubien.com" TargetMode="External"/><Relationship Id="rId11" Type="http://schemas.openxmlformats.org/officeDocument/2006/relationships/hyperlink" Target="mailto:ebouchard@cinemasteustache.ca" TargetMode="External"/><Relationship Id="rId24" Type="http://schemas.openxmlformats.org/officeDocument/2006/relationships/hyperlink" Target="mailto:cinecentre7iles@hotmail.com" TargetMode="External"/><Relationship Id="rId32" Type="http://schemas.openxmlformats.org/officeDocument/2006/relationships/hyperlink" Target="mailto:cinemapigalle@hotmail.com" TargetMode="External"/><Relationship Id="rId37" Type="http://schemas.openxmlformats.org/officeDocument/2006/relationships/hyperlink" Target="mailto:rpapalia@cinentreprise.com" TargetMode="External"/><Relationship Id="rId40" Type="http://schemas.openxmlformats.org/officeDocument/2006/relationships/hyperlink" Target="mailto:rpapalia@cinentreprise.com" TargetMode="External"/><Relationship Id="rId45" Type="http://schemas.openxmlformats.org/officeDocument/2006/relationships/hyperlink" Target="mailto:daniel.seguin@cineplex.com" TargetMode="External"/><Relationship Id="rId53" Type="http://schemas.openxmlformats.org/officeDocument/2006/relationships/hyperlink" Target="mailto:daniel.seguin@cineplex.com" TargetMode="External"/><Relationship Id="rId58" Type="http://schemas.openxmlformats.org/officeDocument/2006/relationships/hyperlink" Target="mailto:yfontaine@azurdivertissements.com" TargetMode="External"/><Relationship Id="rId66" Type="http://schemas.openxmlformats.org/officeDocument/2006/relationships/hyperlink" Target="mailto:daniel.seguin@cineplex.com" TargetMode="External"/><Relationship Id="rId74" Type="http://schemas.openxmlformats.org/officeDocument/2006/relationships/hyperlink" Target="mailto:info@cinemalaurier.ca" TargetMode="External"/><Relationship Id="rId5" Type="http://schemas.openxmlformats.org/officeDocument/2006/relationships/hyperlink" Target="mailto:cinemaalouette@gmail.com" TargetMode="External"/><Relationship Id="rId61" Type="http://schemas.openxmlformats.org/officeDocument/2006/relationships/hyperlink" Target="mailto:gvenne@cinemasrgfm.com" TargetMode="External"/><Relationship Id="rId19" Type="http://schemas.openxmlformats.org/officeDocument/2006/relationships/hyperlink" Target="mailto:cinemamatane@cgocable.ca" TargetMode="External"/><Relationship Id="rId14" Type="http://schemas.openxmlformats.org/officeDocument/2006/relationships/hyperlink" Target="mailto:ipelletier@degelis.ca" TargetMode="External"/><Relationship Id="rId22" Type="http://schemas.openxmlformats.org/officeDocument/2006/relationships/hyperlink" Target="mailto:info@lidorimouski.com" TargetMode="External"/><Relationship Id="rId27" Type="http://schemas.openxmlformats.org/officeDocument/2006/relationships/hyperlink" Target="mailto:rodriguehuard@hotmail.com" TargetMode="External"/><Relationship Id="rId30" Type="http://schemas.openxmlformats.org/officeDocument/2006/relationships/hyperlink" Target="mailto:roxanne@cinemabeaubien.com" TargetMode="External"/><Relationship Id="rId35" Type="http://schemas.openxmlformats.org/officeDocument/2006/relationships/hyperlink" Target="mailto:aude@cinemapublic.ca" TargetMode="External"/><Relationship Id="rId43" Type="http://schemas.openxmlformats.org/officeDocument/2006/relationships/hyperlink" Target="mailto:daniel.seguin@cineplex.com" TargetMode="External"/><Relationship Id="rId48" Type="http://schemas.openxmlformats.org/officeDocument/2006/relationships/hyperlink" Target="mailto:daniel.seguin@cineplex.com" TargetMode="External"/><Relationship Id="rId56" Type="http://schemas.openxmlformats.org/officeDocument/2006/relationships/hyperlink" Target="mailto:daniel.seguin@cineplex.com" TargetMode="External"/><Relationship Id="rId64" Type="http://schemas.openxmlformats.org/officeDocument/2006/relationships/hyperlink" Target="mailto:gvenne@cinemasrgfm.com" TargetMode="External"/><Relationship Id="rId69" Type="http://schemas.openxmlformats.org/officeDocument/2006/relationships/hyperlink" Target="mailto:princesse.345@videotron.ca" TargetMode="External"/><Relationship Id="rId8" Type="http://schemas.openxmlformats.org/officeDocument/2006/relationships/hyperlink" Target="mailto:mbellerive@groupecirtech.com" TargetMode="External"/><Relationship Id="rId51" Type="http://schemas.openxmlformats.org/officeDocument/2006/relationships/hyperlink" Target="mailto:daniel.seguin@cineplex.com" TargetMode="External"/><Relationship Id="rId72" Type="http://schemas.openxmlformats.org/officeDocument/2006/relationships/hyperlink" Target="mailto:marie@cinemalescenario.com" TargetMode="External"/><Relationship Id="rId3" Type="http://schemas.openxmlformats.org/officeDocument/2006/relationships/hyperlink" Target="mailto:gvenne@cinemasrgfm.com" TargetMode="External"/><Relationship Id="rId12" Type="http://schemas.openxmlformats.org/officeDocument/2006/relationships/hyperlink" Target="mailto:cinemacv@cgocable.ca" TargetMode="External"/><Relationship Id="rId17" Type="http://schemas.openxmlformats.org/officeDocument/2006/relationships/hyperlink" Target="mailto:joel.phaneuf@zoosauvage.org" TargetMode="External"/><Relationship Id="rId25" Type="http://schemas.openxmlformats.org/officeDocument/2006/relationships/hyperlink" Target="mailto:cinemamegantic@hotmail.ca" TargetMode="External"/><Relationship Id="rId33" Type="http://schemas.openxmlformats.org/officeDocument/2006/relationships/hyperlink" Target="mailto:perry@cinemapine.com" TargetMode="External"/><Relationship Id="rId38" Type="http://schemas.openxmlformats.org/officeDocument/2006/relationships/hyperlink" Target="mailto:rpapalia@cinentreprise.com" TargetMode="External"/><Relationship Id="rId46" Type="http://schemas.openxmlformats.org/officeDocument/2006/relationships/hyperlink" Target="mailto:daniel.seguin@cineplex.com" TargetMode="External"/><Relationship Id="rId59" Type="http://schemas.openxmlformats.org/officeDocument/2006/relationships/hyperlink" Target="mailto:yfontaine@azurdivertissements.com" TargetMode="External"/><Relationship Id="rId67" Type="http://schemas.openxmlformats.org/officeDocument/2006/relationships/hyperlink" Target="mailto:princesse.345@videotron.ca" TargetMode="External"/><Relationship Id="rId20" Type="http://schemas.openxmlformats.org/officeDocument/2006/relationships/hyperlink" Target="mailto:robin.plamondon@clap.ca" TargetMode="External"/><Relationship Id="rId41" Type="http://schemas.openxmlformats.org/officeDocument/2006/relationships/hyperlink" Target="mailto:rpapalia@cinentreprise.com" TargetMode="External"/><Relationship Id="rId54" Type="http://schemas.openxmlformats.org/officeDocument/2006/relationships/hyperlink" Target="mailto:daniel.seguin@cineplex.com" TargetMode="External"/><Relationship Id="rId62" Type="http://schemas.openxmlformats.org/officeDocument/2006/relationships/hyperlink" Target="mailto:gvenne@cinemasrgfm.com" TargetMode="External"/><Relationship Id="rId70" Type="http://schemas.openxmlformats.org/officeDocument/2006/relationships/hyperlink" Target="mailto:daniel.seguin@cineplex.com" TargetMode="External"/><Relationship Id="rId75" Type="http://schemas.openxmlformats.org/officeDocument/2006/relationships/hyperlink" Target="mailto:manon@quemardist.com" TargetMode="External"/><Relationship Id="rId1" Type="http://schemas.openxmlformats.org/officeDocument/2006/relationships/hyperlink" Target="mailto:rodriguehuard@hotmail.com" TargetMode="External"/><Relationship Id="rId6" Type="http://schemas.openxmlformats.org/officeDocument/2006/relationships/hyperlink" Target="mailto:cinemaamos@ticketacces.net" TargetMode="External"/><Relationship Id="rId15" Type="http://schemas.openxmlformats.org/officeDocument/2006/relationships/hyperlink" Target="mailto:direction@cinemaducentre.ca" TargetMode="External"/><Relationship Id="rId23" Type="http://schemas.openxmlformats.org/officeDocument/2006/relationships/hyperlink" Target="mailto:cinlouis@videotron.ca" TargetMode="External"/><Relationship Id="rId28" Type="http://schemas.openxmlformats.org/officeDocument/2006/relationships/hyperlink" Target="mailto:info@cinemaparamount.com" TargetMode="External"/><Relationship Id="rId36" Type="http://schemas.openxmlformats.org/officeDocument/2006/relationships/hyperlink" Target="mailto:ebouchard@cinemasteustache.ca" TargetMode="External"/><Relationship Id="rId49" Type="http://schemas.openxmlformats.org/officeDocument/2006/relationships/hyperlink" Target="mailto:daniel.seguin@cineplex.com" TargetMode="External"/><Relationship Id="rId57" Type="http://schemas.openxmlformats.org/officeDocument/2006/relationships/hyperlink" Target="mailto:daniel.seguin@cineplex.com" TargetMode="External"/><Relationship Id="rId10" Type="http://schemas.openxmlformats.org/officeDocument/2006/relationships/hyperlink" Target="mailto:shiraztajdin@gmail.com" TargetMode="External"/><Relationship Id="rId31" Type="http://schemas.openxmlformats.org/officeDocument/2006/relationships/hyperlink" Target="mailto:admin@cinemapeninsule.ca" TargetMode="External"/><Relationship Id="rId44" Type="http://schemas.openxmlformats.org/officeDocument/2006/relationships/hyperlink" Target="mailto:daniel.seguin@cineplex.com" TargetMode="External"/><Relationship Id="rId52" Type="http://schemas.openxmlformats.org/officeDocument/2006/relationships/hyperlink" Target="mailto:daniel.seguin@cineplex.com" TargetMode="External"/><Relationship Id="rId60" Type="http://schemas.openxmlformats.org/officeDocument/2006/relationships/hyperlink" Target="mailto:gvenne@cinemasrgfm.com" TargetMode="External"/><Relationship Id="rId65" Type="http://schemas.openxmlformats.org/officeDocument/2006/relationships/hyperlink" Target="mailto:dboylennon@gmail.com" TargetMode="External"/><Relationship Id="rId73" Type="http://schemas.openxmlformats.org/officeDocument/2006/relationships/hyperlink" Target="mailto:denis@denhur.qc.ca" TargetMode="External"/><Relationship Id="rId4" Type="http://schemas.openxmlformats.org/officeDocument/2006/relationships/hyperlink" Target="mailto:azeind@hotmail.com" TargetMode="External"/><Relationship Id="rId9" Type="http://schemas.openxmlformats.org/officeDocument/2006/relationships/hyperlink" Target="mailto:cinema.capitol@outlook.com" TargetMode="External"/><Relationship Id="rId13" Type="http://schemas.openxmlformats.org/officeDocument/2006/relationships/hyperlink" Target="mailto:info@cinemacomplexealma.com" TargetMode="External"/><Relationship Id="rId18" Type="http://schemas.openxmlformats.org/officeDocument/2006/relationships/hyperlink" Target="mailto:cinema.amqui@gmail.com" TargetMode="External"/><Relationship Id="rId39" Type="http://schemas.openxmlformats.org/officeDocument/2006/relationships/hyperlink" Target="mailto:rpapalia@cinentreprise.com" TargetMode="External"/><Relationship Id="rId34" Type="http://schemas.openxmlformats.org/officeDocument/2006/relationships/hyperlink" Target="mailto:gerance@cinemaprincesse.com" TargetMode="External"/><Relationship Id="rId50" Type="http://schemas.openxmlformats.org/officeDocument/2006/relationships/hyperlink" Target="mailto:daniel.seguin@cineplex.com" TargetMode="External"/><Relationship Id="rId55" Type="http://schemas.openxmlformats.org/officeDocument/2006/relationships/hyperlink" Target="mailto:daniel.seguin@cineplex.com" TargetMode="External"/><Relationship Id="rId7" Type="http://schemas.openxmlformats.org/officeDocument/2006/relationships/hyperlink" Target="mailto:roxanne@cinemabeaubien.com" TargetMode="External"/><Relationship Id="rId71" Type="http://schemas.openxmlformats.org/officeDocument/2006/relationships/hyperlink" Target="mailto:robin.plamondon@clap.c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tationvu.com" TargetMode="External"/><Relationship Id="rId13" Type="http://schemas.openxmlformats.org/officeDocument/2006/relationships/hyperlink" Target="mailto:info@cinemalamour.com" TargetMode="External"/><Relationship Id="rId3" Type="http://schemas.openxmlformats.org/officeDocument/2006/relationships/hyperlink" Target="mailto:admin@cinestarz.ca" TargetMode="External"/><Relationship Id="rId7" Type="http://schemas.openxmlformats.org/officeDocument/2006/relationships/hyperlink" Target="mailto:vguzzo@cinemasguzzo.com" TargetMode="External"/><Relationship Id="rId12" Type="http://schemas.openxmlformats.org/officeDocument/2006/relationships/hyperlink" Target="mailto:spectaclesfermont@icloud.com" TargetMode="External"/><Relationship Id="rId2" Type="http://schemas.openxmlformats.org/officeDocument/2006/relationships/hyperlink" Target="mailto:admin@cinestarz.ca" TargetMode="External"/><Relationship Id="rId1" Type="http://schemas.openxmlformats.org/officeDocument/2006/relationships/hyperlink" Target="mailto:admin@cinestarz.ca" TargetMode="External"/><Relationship Id="rId6" Type="http://schemas.openxmlformats.org/officeDocument/2006/relationships/hyperlink" Target="mailto:admin@cinestarz.ca" TargetMode="External"/><Relationship Id="rId11" Type="http://schemas.openxmlformats.org/officeDocument/2006/relationships/hyperlink" Target="mailto:mchagnon@phi.ca" TargetMode="External"/><Relationship Id="rId5" Type="http://schemas.openxmlformats.org/officeDocument/2006/relationships/hyperlink" Target="mailto:admin@cinestarz.ca" TargetMode="External"/><Relationship Id="rId15" Type="http://schemas.openxmlformats.org/officeDocument/2006/relationships/hyperlink" Target="mailto:info@culturelatuque.com" TargetMode="External"/><Relationship Id="rId10" Type="http://schemas.openxmlformats.org/officeDocument/2006/relationships/hyperlink" Target="mailto:gaelle.gerberaynaud@theatreoutremont.ca" TargetMode="External"/><Relationship Id="rId4" Type="http://schemas.openxmlformats.org/officeDocument/2006/relationships/hyperlink" Target="mailto:admin@cinestarz.ca" TargetMode="External"/><Relationship Id="rId9" Type="http://schemas.openxmlformats.org/officeDocument/2006/relationships/hyperlink" Target="mailto:cube@hotelbaker.ca" TargetMode="External"/><Relationship Id="rId14" Type="http://schemas.openxmlformats.org/officeDocument/2006/relationships/hyperlink" Target="mailto:mapst.eustach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89A8-2012-BE4D-8DDF-AA42D8345931}">
  <dimension ref="A1:H146"/>
  <sheetViews>
    <sheetView tabSelected="1" zoomScaleNormal="100" workbookViewId="0">
      <selection activeCell="C19" sqref="C19"/>
    </sheetView>
  </sheetViews>
  <sheetFormatPr baseColWidth="10" defaultColWidth="11" defaultRowHeight="19" x14ac:dyDescent="0.25"/>
  <cols>
    <col min="1" max="1" width="44.5" customWidth="1"/>
    <col min="2" max="2" width="32.83203125" customWidth="1"/>
    <col min="3" max="3" width="37.5" customWidth="1"/>
    <col min="4" max="4" width="38.6640625" customWidth="1"/>
    <col min="5" max="5" width="27.83203125" customWidth="1"/>
    <col min="6" max="6" width="9.6640625" customWidth="1"/>
    <col min="7" max="7" width="13.6640625" customWidth="1"/>
    <col min="8" max="8" width="9.1640625" style="24" customWidth="1"/>
  </cols>
  <sheetData>
    <row r="1" spans="1:8" ht="35" customHeight="1" x14ac:dyDescent="0.35">
      <c r="A1" s="3" t="s">
        <v>234</v>
      </c>
      <c r="B1" s="4"/>
      <c r="C1" s="4"/>
      <c r="D1" s="4"/>
      <c r="E1" s="4"/>
      <c r="F1" s="4"/>
      <c r="G1" s="4"/>
      <c r="H1" s="50"/>
    </row>
    <row r="2" spans="1:8" x14ac:dyDescent="0.25">
      <c r="A2" s="25" t="s">
        <v>1</v>
      </c>
      <c r="B2" s="25" t="s">
        <v>2</v>
      </c>
      <c r="C2" s="25" t="s">
        <v>0</v>
      </c>
      <c r="D2" s="25" t="s">
        <v>3</v>
      </c>
      <c r="E2" s="25" t="s">
        <v>6</v>
      </c>
      <c r="F2" s="25" t="s">
        <v>133</v>
      </c>
      <c r="G2" s="25" t="s">
        <v>134</v>
      </c>
      <c r="H2" s="25" t="s">
        <v>336</v>
      </c>
    </row>
    <row r="3" spans="1:8" x14ac:dyDescent="0.25">
      <c r="A3" s="20"/>
      <c r="B3" s="20"/>
      <c r="C3" s="20"/>
      <c r="D3" s="20"/>
      <c r="E3" s="20"/>
      <c r="F3" s="20"/>
      <c r="G3" s="20"/>
    </row>
    <row r="4" spans="1:8" s="22" customFormat="1" ht="26" customHeight="1" x14ac:dyDescent="0.3">
      <c r="A4" s="23" t="s">
        <v>308</v>
      </c>
      <c r="B4" s="23"/>
      <c r="C4" s="23"/>
      <c r="D4" s="23"/>
      <c r="E4" s="23"/>
      <c r="F4" s="23"/>
      <c r="G4" s="23"/>
      <c r="H4" s="51"/>
    </row>
    <row r="5" spans="1:8" x14ac:dyDescent="0.25">
      <c r="A5" s="24" t="s">
        <v>4</v>
      </c>
      <c r="B5" s="24" t="s">
        <v>5</v>
      </c>
      <c r="C5" s="24" t="s">
        <v>335</v>
      </c>
      <c r="D5" s="1" t="s">
        <v>362</v>
      </c>
      <c r="E5" s="24" t="s">
        <v>363</v>
      </c>
      <c r="F5" s="24">
        <v>4</v>
      </c>
      <c r="G5" s="24"/>
      <c r="H5" s="24">
        <v>2</v>
      </c>
    </row>
    <row r="6" spans="1:8" x14ac:dyDescent="0.25">
      <c r="A6" s="24" t="s">
        <v>7</v>
      </c>
      <c r="B6" s="24" t="s">
        <v>8</v>
      </c>
      <c r="C6" s="24" t="s">
        <v>359</v>
      </c>
      <c r="D6" s="1" t="s">
        <v>360</v>
      </c>
      <c r="E6" s="24" t="s">
        <v>361</v>
      </c>
      <c r="F6" s="24">
        <v>3</v>
      </c>
      <c r="G6" s="24"/>
      <c r="H6" s="24">
        <v>1</v>
      </c>
    </row>
    <row r="7" spans="1:8" x14ac:dyDescent="0.25">
      <c r="A7" s="24" t="s">
        <v>153</v>
      </c>
      <c r="B7" s="24" t="s">
        <v>15</v>
      </c>
      <c r="C7" s="24" t="s">
        <v>12</v>
      </c>
      <c r="D7" s="33" t="s">
        <v>13</v>
      </c>
      <c r="E7" s="24" t="s">
        <v>302</v>
      </c>
      <c r="F7" s="24">
        <v>2</v>
      </c>
      <c r="G7" s="24"/>
      <c r="H7" s="24">
        <v>1</v>
      </c>
    </row>
    <row r="8" spans="1:8" x14ac:dyDescent="0.25">
      <c r="A8" s="24" t="s">
        <v>24</v>
      </c>
      <c r="B8" s="24" t="s">
        <v>25</v>
      </c>
      <c r="C8" s="24" t="s">
        <v>26</v>
      </c>
      <c r="D8" s="33" t="s">
        <v>27</v>
      </c>
      <c r="E8" s="24" t="s">
        <v>28</v>
      </c>
      <c r="F8" s="24">
        <v>7</v>
      </c>
      <c r="G8" s="24"/>
      <c r="H8" s="24">
        <v>1</v>
      </c>
    </row>
    <row r="9" spans="1:8" x14ac:dyDescent="0.25">
      <c r="A9" s="24" t="s">
        <v>31</v>
      </c>
      <c r="B9" s="24" t="s">
        <v>32</v>
      </c>
      <c r="C9" s="24" t="s">
        <v>365</v>
      </c>
      <c r="D9" s="34" t="s">
        <v>34</v>
      </c>
      <c r="E9" s="24" t="s">
        <v>33</v>
      </c>
      <c r="F9" s="24">
        <v>2</v>
      </c>
      <c r="G9" s="24"/>
      <c r="H9" s="24">
        <v>0</v>
      </c>
    </row>
    <row r="10" spans="1:8" x14ac:dyDescent="0.25">
      <c r="A10" s="24" t="s">
        <v>35</v>
      </c>
      <c r="B10" s="24" t="s">
        <v>37</v>
      </c>
      <c r="C10" s="24" t="s">
        <v>36</v>
      </c>
      <c r="D10" s="33" t="s">
        <v>39</v>
      </c>
      <c r="E10" s="24" t="s">
        <v>38</v>
      </c>
      <c r="F10" s="24">
        <v>3</v>
      </c>
      <c r="G10" s="24"/>
      <c r="H10" s="24">
        <v>1</v>
      </c>
    </row>
    <row r="11" spans="1:8" x14ac:dyDescent="0.25">
      <c r="A11" s="57" t="s">
        <v>43</v>
      </c>
      <c r="B11" s="24" t="s">
        <v>44</v>
      </c>
      <c r="C11" s="24" t="s">
        <v>45</v>
      </c>
      <c r="D11" s="33" t="s">
        <v>47</v>
      </c>
      <c r="E11" s="24" t="s">
        <v>46</v>
      </c>
      <c r="F11" s="24">
        <v>5</v>
      </c>
      <c r="G11" s="24"/>
    </row>
    <row r="12" spans="1:8" x14ac:dyDescent="0.25">
      <c r="A12" s="57" t="s">
        <v>89</v>
      </c>
      <c r="B12" s="24" t="s">
        <v>44</v>
      </c>
      <c r="C12" s="24" t="s">
        <v>45</v>
      </c>
      <c r="D12" s="33" t="s">
        <v>47</v>
      </c>
      <c r="E12" s="24" t="s">
        <v>46</v>
      </c>
      <c r="F12" s="24">
        <v>1</v>
      </c>
      <c r="G12" s="24"/>
    </row>
    <row r="13" spans="1:8" x14ac:dyDescent="0.25">
      <c r="A13" s="57" t="s">
        <v>90</v>
      </c>
      <c r="B13" s="24" t="s">
        <v>44</v>
      </c>
      <c r="C13" s="24" t="s">
        <v>45</v>
      </c>
      <c r="D13" s="33" t="s">
        <v>47</v>
      </c>
      <c r="E13" s="24" t="s">
        <v>46</v>
      </c>
      <c r="F13" s="24">
        <v>3</v>
      </c>
      <c r="G13" s="24"/>
    </row>
    <row r="14" spans="1:8" x14ac:dyDescent="0.25">
      <c r="A14" s="24" t="s">
        <v>50</v>
      </c>
      <c r="B14" s="24" t="s">
        <v>226</v>
      </c>
      <c r="C14" s="24" t="s">
        <v>51</v>
      </c>
      <c r="D14" s="33" t="s">
        <v>52</v>
      </c>
      <c r="E14" s="35" t="s">
        <v>53</v>
      </c>
      <c r="F14" s="24">
        <v>8</v>
      </c>
      <c r="G14" s="24"/>
      <c r="H14" s="24">
        <v>4</v>
      </c>
    </row>
    <row r="15" spans="1:8" x14ac:dyDescent="0.25">
      <c r="A15" s="24" t="s">
        <v>54</v>
      </c>
      <c r="B15" s="24" t="s">
        <v>57</v>
      </c>
      <c r="C15" s="24" t="s">
        <v>368</v>
      </c>
      <c r="D15" s="33" t="s">
        <v>55</v>
      </c>
      <c r="E15" s="24" t="s">
        <v>56</v>
      </c>
      <c r="F15" s="24">
        <v>5</v>
      </c>
      <c r="G15" s="24"/>
      <c r="H15" s="24">
        <v>2</v>
      </c>
    </row>
    <row r="16" spans="1:8" x14ac:dyDescent="0.25">
      <c r="A16" s="24" t="s">
        <v>59</v>
      </c>
      <c r="B16" s="24" t="s">
        <v>60</v>
      </c>
      <c r="C16" s="24" t="s">
        <v>369</v>
      </c>
      <c r="D16" s="33" t="s">
        <v>61</v>
      </c>
      <c r="E16" s="24" t="s">
        <v>62</v>
      </c>
      <c r="F16" s="24">
        <v>6</v>
      </c>
      <c r="G16" s="24"/>
    </row>
    <row r="17" spans="1:8" x14ac:dyDescent="0.25">
      <c r="A17" s="24" t="s">
        <v>63</v>
      </c>
      <c r="B17" s="24" t="s">
        <v>64</v>
      </c>
      <c r="C17" s="24" t="s">
        <v>65</v>
      </c>
      <c r="D17" s="33" t="s">
        <v>66</v>
      </c>
      <c r="E17" s="24" t="s">
        <v>67</v>
      </c>
      <c r="F17" s="24">
        <v>9</v>
      </c>
      <c r="G17" s="24"/>
      <c r="H17" s="24">
        <v>6</v>
      </c>
    </row>
    <row r="18" spans="1:8" x14ac:dyDescent="0.25">
      <c r="A18" s="24" t="s">
        <v>183</v>
      </c>
      <c r="B18" s="24" t="s">
        <v>184</v>
      </c>
      <c r="C18" s="24" t="s">
        <v>65</v>
      </c>
      <c r="D18" s="33" t="s">
        <v>66</v>
      </c>
      <c r="E18" s="24" t="s">
        <v>67</v>
      </c>
      <c r="F18" s="24">
        <v>11</v>
      </c>
      <c r="G18" s="24"/>
      <c r="H18" s="24">
        <v>4</v>
      </c>
    </row>
    <row r="19" spans="1:8" x14ac:dyDescent="0.25">
      <c r="A19" s="24" t="s">
        <v>71</v>
      </c>
      <c r="B19" s="24" t="s">
        <v>72</v>
      </c>
      <c r="C19" s="24" t="s">
        <v>70</v>
      </c>
      <c r="D19" s="33" t="s">
        <v>73</v>
      </c>
      <c r="E19" s="24" t="s">
        <v>349</v>
      </c>
      <c r="F19" s="24">
        <v>6</v>
      </c>
      <c r="G19" s="24">
        <v>650</v>
      </c>
      <c r="H19" s="24">
        <v>2</v>
      </c>
    </row>
    <row r="20" spans="1:8" x14ac:dyDescent="0.25">
      <c r="A20" s="57" t="s">
        <v>220</v>
      </c>
      <c r="B20" s="24" t="s">
        <v>346</v>
      </c>
      <c r="C20" s="24" t="s">
        <v>219</v>
      </c>
      <c r="D20" s="33" t="s">
        <v>221</v>
      </c>
      <c r="E20" s="24" t="s">
        <v>334</v>
      </c>
      <c r="F20" s="24">
        <v>1</v>
      </c>
      <c r="G20" s="24">
        <v>410</v>
      </c>
    </row>
    <row r="21" spans="1:8" x14ac:dyDescent="0.25">
      <c r="A21" s="24" t="s">
        <v>367</v>
      </c>
      <c r="B21" s="24" t="s">
        <v>75</v>
      </c>
      <c r="C21" s="24" t="s">
        <v>348</v>
      </c>
      <c r="D21" s="33" t="s">
        <v>76</v>
      </c>
      <c r="E21" s="24" t="s">
        <v>77</v>
      </c>
      <c r="F21" s="24">
        <v>6</v>
      </c>
      <c r="G21" s="24"/>
    </row>
    <row r="22" spans="1:8" x14ac:dyDescent="0.25">
      <c r="A22" s="24" t="s">
        <v>78</v>
      </c>
      <c r="B22" s="24" t="s">
        <v>79</v>
      </c>
      <c r="C22" s="24" t="s">
        <v>80</v>
      </c>
      <c r="D22" s="33" t="s">
        <v>81</v>
      </c>
      <c r="E22" s="24" t="s">
        <v>366</v>
      </c>
      <c r="F22" s="24">
        <v>1</v>
      </c>
      <c r="G22" s="24"/>
      <c r="H22" s="24">
        <v>0</v>
      </c>
    </row>
    <row r="23" spans="1:8" x14ac:dyDescent="0.25">
      <c r="A23" s="24" t="s">
        <v>91</v>
      </c>
      <c r="B23" s="24" t="s">
        <v>92</v>
      </c>
      <c r="C23" s="24" t="s">
        <v>328</v>
      </c>
      <c r="D23" s="1" t="s">
        <v>329</v>
      </c>
      <c r="E23" s="24" t="s">
        <v>330</v>
      </c>
      <c r="F23" s="24">
        <v>1</v>
      </c>
      <c r="G23" s="24"/>
      <c r="H23" s="24">
        <v>0</v>
      </c>
    </row>
    <row r="24" spans="1:8" x14ac:dyDescent="0.25">
      <c r="A24" s="57" t="s">
        <v>93</v>
      </c>
      <c r="B24" s="24" t="s">
        <v>94</v>
      </c>
      <c r="C24" s="24" t="s">
        <v>97</v>
      </c>
      <c r="D24" s="33" t="s">
        <v>96</v>
      </c>
      <c r="E24" s="24" t="s">
        <v>95</v>
      </c>
      <c r="F24" s="24">
        <v>2</v>
      </c>
      <c r="G24" s="24">
        <v>400</v>
      </c>
    </row>
    <row r="25" spans="1:8" x14ac:dyDescent="0.25">
      <c r="A25" s="57" t="s">
        <v>100</v>
      </c>
      <c r="B25" s="24" t="s">
        <v>102</v>
      </c>
      <c r="C25" s="24" t="s">
        <v>333</v>
      </c>
      <c r="D25" s="33" t="s">
        <v>101</v>
      </c>
      <c r="E25" s="24" t="s">
        <v>345</v>
      </c>
      <c r="F25" s="24">
        <v>3</v>
      </c>
      <c r="G25" s="24"/>
      <c r="H25" s="24">
        <v>0</v>
      </c>
    </row>
    <row r="26" spans="1:8" x14ac:dyDescent="0.25">
      <c r="A26" s="24" t="s">
        <v>104</v>
      </c>
      <c r="B26" s="24" t="s">
        <v>105</v>
      </c>
      <c r="C26" s="24" t="s">
        <v>106</v>
      </c>
      <c r="D26" s="33" t="s">
        <v>218</v>
      </c>
      <c r="E26" s="24" t="s">
        <v>364</v>
      </c>
      <c r="F26" s="24">
        <v>3</v>
      </c>
      <c r="G26" s="24"/>
      <c r="H26" s="24">
        <v>2</v>
      </c>
    </row>
    <row r="27" spans="1:8" x14ac:dyDescent="0.25">
      <c r="A27" s="24" t="s">
        <v>337</v>
      </c>
      <c r="B27" s="24" t="s">
        <v>215</v>
      </c>
      <c r="C27" s="24" t="s">
        <v>157</v>
      </c>
      <c r="D27" s="1" t="s">
        <v>338</v>
      </c>
      <c r="E27" s="35" t="s">
        <v>339</v>
      </c>
      <c r="F27" s="24">
        <v>6</v>
      </c>
      <c r="G27" s="24"/>
      <c r="H27" s="24">
        <v>2</v>
      </c>
    </row>
    <row r="28" spans="1:8" x14ac:dyDescent="0.25">
      <c r="A28" s="24" t="s">
        <v>107</v>
      </c>
      <c r="B28" s="24" t="s">
        <v>110</v>
      </c>
      <c r="C28" s="24" t="s">
        <v>108</v>
      </c>
      <c r="D28" s="1" t="s">
        <v>350</v>
      </c>
      <c r="E28" s="24" t="s">
        <v>109</v>
      </c>
      <c r="F28" s="24">
        <v>3</v>
      </c>
      <c r="G28" s="24"/>
      <c r="H28" s="24">
        <v>2</v>
      </c>
    </row>
    <row r="29" spans="1:8" x14ac:dyDescent="0.25">
      <c r="A29" s="24" t="s">
        <v>111</v>
      </c>
      <c r="B29" s="24" t="s">
        <v>351</v>
      </c>
      <c r="C29" s="24" t="s">
        <v>112</v>
      </c>
      <c r="D29" s="33" t="s">
        <v>113</v>
      </c>
      <c r="E29" s="35" t="s">
        <v>114</v>
      </c>
      <c r="F29" s="24">
        <v>8</v>
      </c>
      <c r="G29" s="24"/>
    </row>
    <row r="30" spans="1:8" x14ac:dyDescent="0.25">
      <c r="A30" s="24" t="s">
        <v>111</v>
      </c>
      <c r="B30" s="24" t="s">
        <v>327</v>
      </c>
      <c r="C30" s="24" t="s">
        <v>112</v>
      </c>
      <c r="D30" s="33" t="s">
        <v>113</v>
      </c>
      <c r="E30" s="35" t="s">
        <v>114</v>
      </c>
      <c r="F30" s="24">
        <v>12</v>
      </c>
      <c r="G30" s="24"/>
    </row>
    <row r="31" spans="1:8" x14ac:dyDescent="0.25">
      <c r="A31" s="24" t="s">
        <v>116</v>
      </c>
      <c r="B31" s="24" t="s">
        <v>117</v>
      </c>
      <c r="C31" s="24" t="s">
        <v>115</v>
      </c>
      <c r="D31" s="33" t="s">
        <v>118</v>
      </c>
      <c r="E31" s="24" t="s">
        <v>355</v>
      </c>
      <c r="F31" s="24">
        <v>4</v>
      </c>
      <c r="G31" s="24"/>
      <c r="H31" s="24">
        <v>2</v>
      </c>
    </row>
    <row r="32" spans="1:8" x14ac:dyDescent="0.25">
      <c r="A32" s="24" t="s">
        <v>119</v>
      </c>
      <c r="B32" s="24" t="s">
        <v>83</v>
      </c>
      <c r="C32" s="24" t="s">
        <v>120</v>
      </c>
      <c r="D32" s="33" t="s">
        <v>121</v>
      </c>
      <c r="E32" s="24" t="s">
        <v>122</v>
      </c>
      <c r="F32" s="24">
        <v>4</v>
      </c>
      <c r="G32" s="24">
        <v>302</v>
      </c>
    </row>
    <row r="33" spans="1:8" x14ac:dyDescent="0.25">
      <c r="A33" s="24" t="s">
        <v>123</v>
      </c>
      <c r="B33" s="24" t="s">
        <v>124</v>
      </c>
      <c r="C33" s="24" t="s">
        <v>157</v>
      </c>
      <c r="D33" s="33" t="s">
        <v>126</v>
      </c>
      <c r="E33" s="24" t="s">
        <v>125</v>
      </c>
      <c r="F33" s="24">
        <v>5</v>
      </c>
      <c r="G33" s="24"/>
      <c r="H33" s="24">
        <v>3</v>
      </c>
    </row>
    <row r="34" spans="1:8" x14ac:dyDescent="0.25">
      <c r="A34" s="24" t="s">
        <v>129</v>
      </c>
      <c r="B34" s="24" t="s">
        <v>130</v>
      </c>
      <c r="C34" s="24" t="s">
        <v>127</v>
      </c>
      <c r="D34" s="33" t="s">
        <v>128</v>
      </c>
      <c r="E34" s="24" t="s">
        <v>343</v>
      </c>
      <c r="F34" s="24">
        <v>2</v>
      </c>
      <c r="G34" s="24">
        <v>275</v>
      </c>
      <c r="H34" s="24">
        <v>1</v>
      </c>
    </row>
    <row r="35" spans="1:8" x14ac:dyDescent="0.25">
      <c r="A35" s="24" t="s">
        <v>138</v>
      </c>
      <c r="B35" s="24" t="s">
        <v>142</v>
      </c>
      <c r="C35" s="24" t="s">
        <v>139</v>
      </c>
      <c r="D35" s="33" t="s">
        <v>140</v>
      </c>
      <c r="E35" s="24" t="s">
        <v>141</v>
      </c>
      <c r="F35" s="24">
        <v>2</v>
      </c>
      <c r="G35" s="24"/>
      <c r="H35" s="24">
        <v>1</v>
      </c>
    </row>
    <row r="36" spans="1:8" x14ac:dyDescent="0.25">
      <c r="A36" s="57" t="s">
        <v>143</v>
      </c>
      <c r="B36" s="24" t="s">
        <v>44</v>
      </c>
      <c r="C36" s="24" t="s">
        <v>144</v>
      </c>
      <c r="D36" s="24" t="s">
        <v>145</v>
      </c>
      <c r="E36" s="24" t="s">
        <v>344</v>
      </c>
      <c r="F36" s="24">
        <v>1</v>
      </c>
      <c r="G36" s="24"/>
    </row>
    <row r="37" spans="1:8" x14ac:dyDescent="0.25">
      <c r="A37" s="24" t="s">
        <v>146</v>
      </c>
      <c r="B37" s="24" t="s">
        <v>150</v>
      </c>
      <c r="C37" s="24" t="s">
        <v>147</v>
      </c>
      <c r="D37" s="33" t="s">
        <v>148</v>
      </c>
      <c r="E37" s="24" t="s">
        <v>149</v>
      </c>
      <c r="F37" s="24">
        <v>1</v>
      </c>
      <c r="G37" s="24"/>
      <c r="H37" s="24">
        <v>0</v>
      </c>
    </row>
    <row r="38" spans="1:8" x14ac:dyDescent="0.25">
      <c r="A38" s="24" t="s">
        <v>225</v>
      </c>
      <c r="B38" s="24" t="s">
        <v>224</v>
      </c>
      <c r="C38" s="24" t="s">
        <v>155</v>
      </c>
      <c r="D38" s="33" t="s">
        <v>156</v>
      </c>
      <c r="E38" s="24" t="s">
        <v>154</v>
      </c>
      <c r="F38" s="24">
        <v>5</v>
      </c>
      <c r="G38" s="24"/>
      <c r="H38" s="24">
        <v>3</v>
      </c>
    </row>
    <row r="39" spans="1:8" x14ac:dyDescent="0.25">
      <c r="A39" s="24" t="s">
        <v>163</v>
      </c>
      <c r="B39" s="24" t="s">
        <v>167</v>
      </c>
      <c r="C39" s="24" t="s">
        <v>164</v>
      </c>
      <c r="D39" s="33" t="s">
        <v>166</v>
      </c>
      <c r="E39" s="24" t="s">
        <v>165</v>
      </c>
      <c r="F39" s="24">
        <v>2</v>
      </c>
      <c r="G39" s="24">
        <v>300</v>
      </c>
      <c r="H39" s="24">
        <v>1</v>
      </c>
    </row>
    <row r="40" spans="1:8" x14ac:dyDescent="0.25">
      <c r="A40" s="24" t="s">
        <v>171</v>
      </c>
      <c r="B40" s="24" t="s">
        <v>169</v>
      </c>
      <c r="C40" s="24" t="s">
        <v>331</v>
      </c>
      <c r="D40" s="1" t="s">
        <v>332</v>
      </c>
      <c r="E40" s="24" t="s">
        <v>168</v>
      </c>
      <c r="F40" s="24">
        <v>8</v>
      </c>
      <c r="G40" s="24"/>
      <c r="H40" s="24">
        <v>5</v>
      </c>
    </row>
    <row r="41" spans="1:8" x14ac:dyDescent="0.25">
      <c r="A41" s="24" t="s">
        <v>174</v>
      </c>
      <c r="B41" s="24" t="s">
        <v>175</v>
      </c>
      <c r="C41" s="24" t="s">
        <v>357</v>
      </c>
      <c r="D41" s="1" t="s">
        <v>356</v>
      </c>
      <c r="E41" s="24" t="s">
        <v>358</v>
      </c>
      <c r="F41" s="24">
        <v>4</v>
      </c>
      <c r="G41" s="24"/>
      <c r="H41" s="24">
        <v>2</v>
      </c>
    </row>
    <row r="42" spans="1:8" x14ac:dyDescent="0.25">
      <c r="A42" s="57" t="s">
        <v>176</v>
      </c>
      <c r="B42" s="24" t="s">
        <v>44</v>
      </c>
      <c r="C42" s="24" t="s">
        <v>177</v>
      </c>
      <c r="D42" s="33" t="s">
        <v>178</v>
      </c>
      <c r="E42" s="24" t="s">
        <v>179</v>
      </c>
      <c r="F42" s="24">
        <v>1</v>
      </c>
      <c r="G42" s="24"/>
    </row>
    <row r="43" spans="1:8" x14ac:dyDescent="0.25">
      <c r="A43" s="24">
        <v>38</v>
      </c>
      <c r="B43" s="24"/>
      <c r="C43" s="24"/>
      <c r="D43" s="33"/>
      <c r="E43" s="24"/>
      <c r="F43" s="24"/>
      <c r="G43" s="24"/>
    </row>
    <row r="44" spans="1:8" ht="22" x14ac:dyDescent="0.3">
      <c r="A44" s="12" t="s">
        <v>323</v>
      </c>
      <c r="B44" s="13"/>
      <c r="C44" s="13"/>
      <c r="D44" s="14"/>
      <c r="E44" s="13"/>
      <c r="F44" s="13"/>
      <c r="G44" s="13"/>
      <c r="H44" s="51"/>
    </row>
    <row r="45" spans="1:8" x14ac:dyDescent="0.25">
      <c r="A45" s="24" t="s">
        <v>135</v>
      </c>
      <c r="B45" s="24" t="s">
        <v>137</v>
      </c>
      <c r="C45" s="24" t="s">
        <v>136</v>
      </c>
      <c r="D45" s="33" t="s">
        <v>9</v>
      </c>
      <c r="E45" s="24" t="s">
        <v>172</v>
      </c>
      <c r="F45" s="24">
        <v>3</v>
      </c>
      <c r="G45" s="24"/>
      <c r="H45" s="24">
        <v>1</v>
      </c>
    </row>
    <row r="46" spans="1:8" x14ac:dyDescent="0.25">
      <c r="A46" s="24" t="s">
        <v>131</v>
      </c>
      <c r="B46" s="24" t="s">
        <v>132</v>
      </c>
      <c r="C46" s="24" t="s">
        <v>136</v>
      </c>
      <c r="D46" s="33" t="s">
        <v>9</v>
      </c>
      <c r="E46" s="24" t="s">
        <v>172</v>
      </c>
      <c r="F46" s="24">
        <v>5</v>
      </c>
      <c r="G46" s="24"/>
      <c r="H46" s="24">
        <v>2</v>
      </c>
    </row>
    <row r="47" spans="1:8" x14ac:dyDescent="0.25">
      <c r="A47" s="24" t="s">
        <v>170</v>
      </c>
      <c r="B47" s="24" t="s">
        <v>173</v>
      </c>
      <c r="C47" s="24" t="s">
        <v>136</v>
      </c>
      <c r="D47" s="33" t="s">
        <v>9</v>
      </c>
      <c r="E47" s="24" t="s">
        <v>172</v>
      </c>
      <c r="F47" s="24">
        <v>4</v>
      </c>
      <c r="G47" s="24"/>
      <c r="H47" s="24">
        <v>2</v>
      </c>
    </row>
    <row r="48" spans="1:8" x14ac:dyDescent="0.25">
      <c r="A48" s="24" t="s">
        <v>68</v>
      </c>
      <c r="B48" s="24" t="s">
        <v>69</v>
      </c>
      <c r="C48" s="24" t="s">
        <v>136</v>
      </c>
      <c r="D48" s="33" t="s">
        <v>9</v>
      </c>
      <c r="E48" s="24" t="s">
        <v>172</v>
      </c>
      <c r="F48" s="24">
        <v>5</v>
      </c>
      <c r="G48" s="24"/>
      <c r="H48" s="24">
        <v>2</v>
      </c>
    </row>
    <row r="49" spans="1:8" x14ac:dyDescent="0.25">
      <c r="A49" s="24" t="s">
        <v>352</v>
      </c>
      <c r="B49" s="24" t="s">
        <v>74</v>
      </c>
      <c r="C49" s="24" t="s">
        <v>136</v>
      </c>
      <c r="D49" s="33" t="s">
        <v>9</v>
      </c>
      <c r="E49" s="24" t="s">
        <v>172</v>
      </c>
      <c r="F49" s="24">
        <v>3</v>
      </c>
      <c r="G49" s="24"/>
      <c r="H49" s="24">
        <v>1</v>
      </c>
    </row>
    <row r="50" spans="1:8" x14ac:dyDescent="0.25">
      <c r="A50" s="24" t="s">
        <v>353</v>
      </c>
      <c r="B50" s="24" t="s">
        <v>322</v>
      </c>
      <c r="C50" s="24" t="s">
        <v>136</v>
      </c>
      <c r="D50" s="33" t="s">
        <v>9</v>
      </c>
      <c r="E50" s="24" t="s">
        <v>172</v>
      </c>
      <c r="F50" s="24">
        <v>3</v>
      </c>
      <c r="G50" s="24"/>
      <c r="H50" s="24">
        <v>1</v>
      </c>
    </row>
    <row r="51" spans="1:8" x14ac:dyDescent="0.25">
      <c r="A51" s="36" t="s">
        <v>10</v>
      </c>
      <c r="B51" s="36" t="s">
        <v>215</v>
      </c>
      <c r="C51" s="24" t="s">
        <v>136</v>
      </c>
      <c r="D51" s="37" t="s">
        <v>9</v>
      </c>
      <c r="E51" s="36" t="s">
        <v>172</v>
      </c>
      <c r="F51" s="36">
        <v>3</v>
      </c>
      <c r="G51" s="36"/>
      <c r="H51" s="24">
        <v>0</v>
      </c>
    </row>
    <row r="52" spans="1:8" x14ac:dyDescent="0.25">
      <c r="A52" s="24"/>
      <c r="B52" s="24"/>
      <c r="C52" s="24"/>
      <c r="D52" s="33"/>
      <c r="E52" s="24"/>
      <c r="F52" s="24"/>
      <c r="G52" s="24"/>
    </row>
    <row r="53" spans="1:8" ht="22" x14ac:dyDescent="0.3">
      <c r="A53" s="12" t="s">
        <v>300</v>
      </c>
      <c r="B53" s="13"/>
      <c r="C53" s="13"/>
      <c r="D53" s="14"/>
      <c r="E53" s="13"/>
      <c r="F53" s="13"/>
      <c r="G53" s="13"/>
      <c r="H53" s="51"/>
    </row>
    <row r="54" spans="1:8" x14ac:dyDescent="0.25">
      <c r="A54" s="36" t="s">
        <v>42</v>
      </c>
      <c r="B54" s="36" t="s">
        <v>40</v>
      </c>
      <c r="C54" s="36" t="s">
        <v>41</v>
      </c>
      <c r="D54" s="37" t="s">
        <v>189</v>
      </c>
      <c r="E54" s="38" t="s">
        <v>303</v>
      </c>
      <c r="F54" s="36">
        <v>2</v>
      </c>
      <c r="G54" s="36"/>
    </row>
    <row r="55" spans="1:8" x14ac:dyDescent="0.25">
      <c r="A55" s="36" t="s">
        <v>82</v>
      </c>
      <c r="B55" s="36" t="s">
        <v>83</v>
      </c>
      <c r="C55" s="36" t="s">
        <v>41</v>
      </c>
      <c r="D55" s="37" t="s">
        <v>189</v>
      </c>
      <c r="E55" s="38" t="s">
        <v>303</v>
      </c>
      <c r="F55" s="36">
        <v>7</v>
      </c>
      <c r="G55" s="36"/>
    </row>
    <row r="56" spans="1:8" x14ac:dyDescent="0.25">
      <c r="A56" s="36" t="s">
        <v>98</v>
      </c>
      <c r="B56" s="36" t="s">
        <v>99</v>
      </c>
      <c r="C56" s="36" t="s">
        <v>41</v>
      </c>
      <c r="D56" s="37" t="s">
        <v>189</v>
      </c>
      <c r="E56" s="38" t="s">
        <v>303</v>
      </c>
      <c r="F56" s="36">
        <v>8</v>
      </c>
      <c r="G56" s="36"/>
    </row>
    <row r="57" spans="1:8" x14ac:dyDescent="0.25">
      <c r="A57" s="36" t="s">
        <v>103</v>
      </c>
      <c r="B57" s="36" t="s">
        <v>83</v>
      </c>
      <c r="C57" s="36" t="s">
        <v>41</v>
      </c>
      <c r="D57" s="37" t="s">
        <v>189</v>
      </c>
      <c r="E57" s="38" t="s">
        <v>303</v>
      </c>
      <c r="F57" s="36">
        <v>9</v>
      </c>
      <c r="G57" s="36"/>
    </row>
    <row r="58" spans="1:8" x14ac:dyDescent="0.25">
      <c r="A58" s="36" t="s">
        <v>151</v>
      </c>
      <c r="B58" s="36" t="s">
        <v>152</v>
      </c>
      <c r="C58" s="36" t="s">
        <v>41</v>
      </c>
      <c r="D58" s="37" t="s">
        <v>189</v>
      </c>
      <c r="E58" s="38" t="s">
        <v>303</v>
      </c>
      <c r="F58" s="36">
        <v>8</v>
      </c>
      <c r="G58" s="36"/>
    </row>
    <row r="59" spans="1:8" x14ac:dyDescent="0.25">
      <c r="A59" s="36" t="s">
        <v>187</v>
      </c>
      <c r="B59" s="36" t="s">
        <v>188</v>
      </c>
      <c r="C59" s="36" t="s">
        <v>41</v>
      </c>
      <c r="D59" s="36" t="s">
        <v>189</v>
      </c>
      <c r="E59" s="38" t="s">
        <v>303</v>
      </c>
      <c r="F59" s="36">
        <v>10</v>
      </c>
      <c r="G59" s="36"/>
    </row>
    <row r="60" spans="1:8" x14ac:dyDescent="0.25">
      <c r="A60" s="24" t="s">
        <v>29</v>
      </c>
      <c r="B60" s="24" t="s">
        <v>30</v>
      </c>
      <c r="C60" s="36" t="s">
        <v>41</v>
      </c>
      <c r="D60" s="36" t="s">
        <v>189</v>
      </c>
      <c r="E60" s="38" t="s">
        <v>303</v>
      </c>
      <c r="F60" s="24">
        <v>9</v>
      </c>
      <c r="G60" s="24"/>
    </row>
    <row r="61" spans="1:8" x14ac:dyDescent="0.25">
      <c r="H61" s="24">
        <v>19</v>
      </c>
    </row>
    <row r="62" spans="1:8" ht="22" x14ac:dyDescent="0.3">
      <c r="A62" s="12" t="s">
        <v>299</v>
      </c>
      <c r="B62" s="13"/>
      <c r="C62" s="13"/>
      <c r="D62" s="13"/>
      <c r="E62" s="13"/>
      <c r="F62" s="13"/>
      <c r="G62" s="13"/>
      <c r="H62" s="51"/>
    </row>
    <row r="63" spans="1:8" x14ac:dyDescent="0.25">
      <c r="A63" s="36" t="s">
        <v>20</v>
      </c>
      <c r="B63" s="36" t="s">
        <v>21</v>
      </c>
      <c r="C63" s="36" t="s">
        <v>181</v>
      </c>
      <c r="D63" s="37" t="s">
        <v>22</v>
      </c>
      <c r="E63" s="36" t="s">
        <v>23</v>
      </c>
      <c r="F63" s="36">
        <v>7</v>
      </c>
      <c r="G63" s="36"/>
      <c r="H63" s="24">
        <v>4</v>
      </c>
    </row>
    <row r="64" spans="1:8" x14ac:dyDescent="0.25">
      <c r="A64" s="36" t="s">
        <v>48</v>
      </c>
      <c r="B64" s="36" t="s">
        <v>49</v>
      </c>
      <c r="C64" s="36" t="s">
        <v>181</v>
      </c>
      <c r="D64" s="37" t="s">
        <v>22</v>
      </c>
      <c r="E64" s="36" t="s">
        <v>23</v>
      </c>
      <c r="F64" s="36">
        <v>10</v>
      </c>
      <c r="G64" s="36"/>
      <c r="H64" s="24">
        <v>5</v>
      </c>
    </row>
    <row r="65" spans="1:8" x14ac:dyDescent="0.25">
      <c r="A65" s="36" t="s">
        <v>54</v>
      </c>
      <c r="B65" s="36" t="s">
        <v>58</v>
      </c>
      <c r="C65" s="36" t="s">
        <v>181</v>
      </c>
      <c r="D65" s="37" t="s">
        <v>22</v>
      </c>
      <c r="E65" s="36" t="s">
        <v>23</v>
      </c>
      <c r="F65" s="36">
        <v>8</v>
      </c>
      <c r="G65" s="36"/>
      <c r="H65" s="24">
        <v>1</v>
      </c>
    </row>
    <row r="66" spans="1:8" x14ac:dyDescent="0.25">
      <c r="A66" s="36" t="s">
        <v>180</v>
      </c>
      <c r="B66" s="36" t="s">
        <v>58</v>
      </c>
      <c r="C66" s="36" t="s">
        <v>181</v>
      </c>
      <c r="D66" s="37" t="s">
        <v>22</v>
      </c>
      <c r="E66" s="36" t="s">
        <v>23</v>
      </c>
      <c r="F66" s="36">
        <v>6</v>
      </c>
      <c r="G66" s="36"/>
      <c r="H66" s="24">
        <v>4</v>
      </c>
    </row>
    <row r="67" spans="1:8" x14ac:dyDescent="0.25">
      <c r="A67" s="36" t="s">
        <v>180</v>
      </c>
      <c r="B67" s="36" t="s">
        <v>182</v>
      </c>
      <c r="C67" s="36" t="s">
        <v>181</v>
      </c>
      <c r="D67" s="37" t="s">
        <v>22</v>
      </c>
      <c r="E67" s="36" t="s">
        <v>23</v>
      </c>
      <c r="F67" s="36">
        <v>9</v>
      </c>
      <c r="G67" s="36"/>
      <c r="H67" s="24">
        <v>4</v>
      </c>
    </row>
    <row r="68" spans="1:8" x14ac:dyDescent="0.25">
      <c r="A68" s="36" t="s">
        <v>185</v>
      </c>
      <c r="B68" s="36" t="s">
        <v>186</v>
      </c>
      <c r="C68" s="36" t="s">
        <v>181</v>
      </c>
      <c r="D68" s="37" t="s">
        <v>22</v>
      </c>
      <c r="E68" s="36" t="s">
        <v>23</v>
      </c>
      <c r="F68" s="36">
        <v>1</v>
      </c>
      <c r="G68" s="36"/>
      <c r="H68" s="24">
        <v>3</v>
      </c>
    </row>
    <row r="69" spans="1:8" x14ac:dyDescent="0.25">
      <c r="D69" s="1"/>
    </row>
    <row r="70" spans="1:8" ht="23" customHeight="1" x14ac:dyDescent="0.3">
      <c r="A70" s="32" t="s">
        <v>321</v>
      </c>
      <c r="B70" s="5"/>
      <c r="C70" s="5"/>
      <c r="D70" s="5"/>
      <c r="E70" s="5"/>
      <c r="F70" s="5"/>
      <c r="G70" s="5"/>
      <c r="H70" s="52"/>
    </row>
    <row r="71" spans="1:8" x14ac:dyDescent="0.25">
      <c r="A71" s="36" t="s">
        <v>11</v>
      </c>
      <c r="B71" s="36" t="s">
        <v>15</v>
      </c>
      <c r="C71" s="36" t="s">
        <v>12</v>
      </c>
      <c r="D71" s="37" t="s">
        <v>13</v>
      </c>
      <c r="E71" s="36" t="s">
        <v>14</v>
      </c>
      <c r="F71" s="36">
        <v>1</v>
      </c>
      <c r="G71" s="36"/>
    </row>
    <row r="72" spans="1:8" x14ac:dyDescent="0.25">
      <c r="A72" s="36" t="s">
        <v>16</v>
      </c>
      <c r="B72" s="36" t="s">
        <v>354</v>
      </c>
      <c r="C72" s="36" t="s">
        <v>17</v>
      </c>
      <c r="D72" s="37" t="s">
        <v>18</v>
      </c>
      <c r="E72" s="36" t="s">
        <v>19</v>
      </c>
      <c r="F72" s="36">
        <v>2</v>
      </c>
      <c r="G72" s="36"/>
    </row>
    <row r="73" spans="1:8" x14ac:dyDescent="0.25">
      <c r="A73" s="36" t="s">
        <v>227</v>
      </c>
      <c r="B73" s="36" t="s">
        <v>228</v>
      </c>
      <c r="C73" s="36" t="s">
        <v>324</v>
      </c>
      <c r="D73" s="36" t="s">
        <v>231</v>
      </c>
      <c r="E73" s="36" t="s">
        <v>325</v>
      </c>
      <c r="F73" s="36">
        <v>2</v>
      </c>
      <c r="G73" s="36"/>
    </row>
    <row r="75" spans="1:8" x14ac:dyDescent="0.25">
      <c r="A75" s="36"/>
      <c r="B75" s="36"/>
      <c r="C75" s="36"/>
      <c r="D75" s="37"/>
      <c r="E75" s="36"/>
      <c r="F75" s="36"/>
      <c r="G75" s="36"/>
    </row>
    <row r="76" spans="1:8" ht="31" customHeight="1" x14ac:dyDescent="0.3">
      <c r="A76" s="45" t="s">
        <v>313</v>
      </c>
      <c r="B76" s="42">
        <v>61</v>
      </c>
      <c r="D76" s="1"/>
      <c r="E76" s="41" t="s">
        <v>316</v>
      </c>
      <c r="F76" s="45">
        <f>SUM(F5:F73)</f>
        <v>285</v>
      </c>
      <c r="G76" s="56" t="s">
        <v>342</v>
      </c>
      <c r="H76" s="24">
        <v>99</v>
      </c>
    </row>
    <row r="77" spans="1:8" ht="31" customHeight="1" x14ac:dyDescent="0.3">
      <c r="A77" s="11"/>
      <c r="D77" s="1"/>
      <c r="E77" s="11"/>
      <c r="F77" s="11"/>
    </row>
    <row r="78" spans="1:8" x14ac:dyDescent="0.25">
      <c r="D78" s="1"/>
    </row>
    <row r="79" spans="1:8" ht="22" x14ac:dyDescent="0.3">
      <c r="A79" s="15" t="s">
        <v>298</v>
      </c>
      <c r="B79" s="16"/>
      <c r="C79" s="16"/>
      <c r="D79" s="16"/>
      <c r="E79" s="16"/>
      <c r="F79" s="16"/>
      <c r="G79" s="16"/>
      <c r="H79" s="53"/>
    </row>
    <row r="80" spans="1:8" x14ac:dyDescent="0.25">
      <c r="A80" s="36" t="s">
        <v>192</v>
      </c>
      <c r="B80" s="36" t="s">
        <v>44</v>
      </c>
      <c r="C80" s="36" t="s">
        <v>190</v>
      </c>
      <c r="D80" s="37" t="s">
        <v>191</v>
      </c>
      <c r="E80" s="46" t="s">
        <v>304</v>
      </c>
      <c r="F80" s="36">
        <v>13</v>
      </c>
      <c r="G80" s="36"/>
    </row>
    <row r="81" spans="1:7" x14ac:dyDescent="0.25">
      <c r="A81" s="36" t="s">
        <v>194</v>
      </c>
      <c r="B81" s="36" t="s">
        <v>193</v>
      </c>
      <c r="C81" s="36" t="s">
        <v>190</v>
      </c>
      <c r="D81" s="37" t="s">
        <v>191</v>
      </c>
      <c r="E81" s="36" t="s">
        <v>304</v>
      </c>
      <c r="F81" s="36">
        <v>6</v>
      </c>
      <c r="G81" s="36"/>
    </row>
    <row r="82" spans="1:7" x14ac:dyDescent="0.25">
      <c r="A82" s="36" t="s">
        <v>195</v>
      </c>
      <c r="B82" s="36" t="s">
        <v>44</v>
      </c>
      <c r="C82" s="38" t="s">
        <v>190</v>
      </c>
      <c r="D82" s="37" t="s">
        <v>191</v>
      </c>
      <c r="E82" s="36" t="s">
        <v>304</v>
      </c>
      <c r="F82" s="36">
        <v>22</v>
      </c>
      <c r="G82" s="36"/>
    </row>
    <row r="83" spans="1:7" x14ac:dyDescent="0.25">
      <c r="A83" s="36" t="s">
        <v>196</v>
      </c>
      <c r="B83" s="36" t="s">
        <v>197</v>
      </c>
      <c r="C83" s="38" t="s">
        <v>190</v>
      </c>
      <c r="D83" s="37" t="s">
        <v>191</v>
      </c>
      <c r="E83" s="36" t="s">
        <v>304</v>
      </c>
      <c r="F83" s="36">
        <v>7</v>
      </c>
      <c r="G83" s="36"/>
    </row>
    <row r="84" spans="1:7" x14ac:dyDescent="0.25">
      <c r="A84" s="36" t="s">
        <v>198</v>
      </c>
      <c r="B84" s="36" t="s">
        <v>69</v>
      </c>
      <c r="C84" s="38" t="s">
        <v>190</v>
      </c>
      <c r="D84" s="37" t="s">
        <v>191</v>
      </c>
      <c r="E84" s="36" t="s">
        <v>304</v>
      </c>
      <c r="F84" s="36">
        <v>1</v>
      </c>
      <c r="G84" s="36"/>
    </row>
    <row r="85" spans="1:7" x14ac:dyDescent="0.25">
      <c r="A85" s="36" t="s">
        <v>199</v>
      </c>
      <c r="B85" s="36" t="s">
        <v>200</v>
      </c>
      <c r="C85" s="38" t="s">
        <v>190</v>
      </c>
      <c r="D85" s="37" t="s">
        <v>191</v>
      </c>
      <c r="E85" s="36" t="s">
        <v>304</v>
      </c>
      <c r="F85" s="36">
        <v>12</v>
      </c>
      <c r="G85" s="36"/>
    </row>
    <row r="86" spans="1:7" x14ac:dyDescent="0.25">
      <c r="A86" s="36" t="s">
        <v>201</v>
      </c>
      <c r="B86" s="36" t="s">
        <v>202</v>
      </c>
      <c r="C86" s="38" t="s">
        <v>190</v>
      </c>
      <c r="D86" s="37" t="s">
        <v>191</v>
      </c>
      <c r="E86" s="36" t="s">
        <v>304</v>
      </c>
      <c r="F86" s="36">
        <v>18</v>
      </c>
      <c r="G86" s="36"/>
    </row>
    <row r="87" spans="1:7" x14ac:dyDescent="0.25">
      <c r="A87" s="36" t="s">
        <v>203</v>
      </c>
      <c r="B87" s="36" t="s">
        <v>69</v>
      </c>
      <c r="C87" s="38" t="s">
        <v>190</v>
      </c>
      <c r="D87" s="37" t="s">
        <v>191</v>
      </c>
      <c r="E87" s="36" t="s">
        <v>304</v>
      </c>
      <c r="F87" s="36">
        <v>16</v>
      </c>
      <c r="G87" s="36"/>
    </row>
    <row r="88" spans="1:7" x14ac:dyDescent="0.25">
      <c r="A88" s="36" t="s">
        <v>204</v>
      </c>
      <c r="B88" s="36" t="s">
        <v>205</v>
      </c>
      <c r="C88" s="38" t="s">
        <v>190</v>
      </c>
      <c r="D88" s="37" t="s">
        <v>191</v>
      </c>
      <c r="E88" s="36" t="s">
        <v>304</v>
      </c>
      <c r="F88" s="36">
        <v>20</v>
      </c>
      <c r="G88" s="36"/>
    </row>
    <row r="89" spans="1:7" x14ac:dyDescent="0.25">
      <c r="A89" s="36" t="s">
        <v>206</v>
      </c>
      <c r="B89" s="36" t="s">
        <v>207</v>
      </c>
      <c r="C89" s="38" t="s">
        <v>190</v>
      </c>
      <c r="D89" s="37" t="s">
        <v>191</v>
      </c>
      <c r="E89" s="36" t="s">
        <v>304</v>
      </c>
      <c r="F89" s="36">
        <v>8</v>
      </c>
      <c r="G89" s="36"/>
    </row>
    <row r="90" spans="1:7" x14ac:dyDescent="0.25">
      <c r="A90" s="36" t="s">
        <v>208</v>
      </c>
      <c r="B90" s="36" t="s">
        <v>44</v>
      </c>
      <c r="C90" s="38" t="s">
        <v>190</v>
      </c>
      <c r="D90" s="37" t="s">
        <v>191</v>
      </c>
      <c r="E90" s="36" t="s">
        <v>304</v>
      </c>
      <c r="F90" s="36">
        <v>17</v>
      </c>
      <c r="G90" s="36"/>
    </row>
    <row r="91" spans="1:7" x14ac:dyDescent="0.25">
      <c r="A91" s="36" t="s">
        <v>209</v>
      </c>
      <c r="B91" s="36" t="s">
        <v>210</v>
      </c>
      <c r="C91" s="38" t="s">
        <v>190</v>
      </c>
      <c r="D91" s="37" t="s">
        <v>191</v>
      </c>
      <c r="E91" s="36" t="s">
        <v>304</v>
      </c>
      <c r="F91" s="36">
        <v>11</v>
      </c>
      <c r="G91" s="36"/>
    </row>
    <row r="92" spans="1:7" x14ac:dyDescent="0.25">
      <c r="A92" s="36" t="s">
        <v>211</v>
      </c>
      <c r="B92" s="36" t="s">
        <v>212</v>
      </c>
      <c r="C92" s="38" t="s">
        <v>190</v>
      </c>
      <c r="D92" s="39" t="s">
        <v>191</v>
      </c>
      <c r="E92" s="36" t="s">
        <v>304</v>
      </c>
      <c r="F92" s="36">
        <v>14</v>
      </c>
      <c r="G92" s="36"/>
    </row>
    <row r="93" spans="1:7" x14ac:dyDescent="0.25">
      <c r="A93" s="36" t="s">
        <v>214</v>
      </c>
      <c r="B93" s="36" t="s">
        <v>213</v>
      </c>
      <c r="C93" s="38" t="s">
        <v>190</v>
      </c>
      <c r="D93" s="37" t="s">
        <v>191</v>
      </c>
      <c r="E93" s="36" t="s">
        <v>304</v>
      </c>
      <c r="F93" s="36">
        <v>10</v>
      </c>
      <c r="G93" s="36"/>
    </row>
    <row r="94" spans="1:7" x14ac:dyDescent="0.25">
      <c r="A94" s="36" t="s">
        <v>216</v>
      </c>
      <c r="B94" s="36" t="s">
        <v>30</v>
      </c>
      <c r="C94" s="38" t="s">
        <v>190</v>
      </c>
      <c r="D94" s="37" t="s">
        <v>191</v>
      </c>
      <c r="E94" s="36" t="s">
        <v>304</v>
      </c>
      <c r="F94" s="36">
        <v>16</v>
      </c>
      <c r="G94" s="36"/>
    </row>
    <row r="95" spans="1:7" x14ac:dyDescent="0.25">
      <c r="A95" s="36" t="s">
        <v>217</v>
      </c>
      <c r="B95" s="36" t="s">
        <v>44</v>
      </c>
      <c r="C95" s="38" t="s">
        <v>190</v>
      </c>
      <c r="D95" s="37" t="s">
        <v>191</v>
      </c>
      <c r="E95" s="36" t="s">
        <v>304</v>
      </c>
      <c r="F95" s="36">
        <v>17</v>
      </c>
      <c r="G95" s="36"/>
    </row>
    <row r="96" spans="1:7" x14ac:dyDescent="0.25">
      <c r="A96" s="36" t="s">
        <v>222</v>
      </c>
      <c r="B96" s="36" t="s">
        <v>223</v>
      </c>
      <c r="C96" s="38" t="s">
        <v>190</v>
      </c>
      <c r="D96" s="37" t="s">
        <v>191</v>
      </c>
      <c r="E96" s="36" t="s">
        <v>304</v>
      </c>
      <c r="F96" s="36">
        <v>12</v>
      </c>
      <c r="G96" s="36"/>
    </row>
    <row r="97" spans="1:8" x14ac:dyDescent="0.25">
      <c r="A97" s="36" t="s">
        <v>326</v>
      </c>
      <c r="B97" s="36" t="s">
        <v>44</v>
      </c>
      <c r="C97" s="38" t="s">
        <v>190</v>
      </c>
      <c r="D97" s="37" t="s">
        <v>191</v>
      </c>
      <c r="E97" s="36" t="s">
        <v>304</v>
      </c>
      <c r="F97" s="36">
        <v>5</v>
      </c>
      <c r="G97" s="36"/>
    </row>
    <row r="98" spans="1:8" x14ac:dyDescent="0.25">
      <c r="C98" s="2"/>
      <c r="D98" s="1"/>
    </row>
    <row r="99" spans="1:8" ht="28" customHeight="1" x14ac:dyDescent="0.3">
      <c r="A99" s="27" t="s">
        <v>312</v>
      </c>
      <c r="B99" s="40">
        <v>18</v>
      </c>
      <c r="C99" s="2"/>
      <c r="D99" s="1"/>
      <c r="E99" s="27" t="s">
        <v>314</v>
      </c>
      <c r="F99" s="40">
        <f>SUM(F80:F97)</f>
        <v>225</v>
      </c>
    </row>
    <row r="100" spans="1:8" ht="17" customHeight="1" x14ac:dyDescent="0.25">
      <c r="A100" s="10"/>
    </row>
    <row r="101" spans="1:8" ht="17" customHeight="1" x14ac:dyDescent="0.25">
      <c r="A101" s="28"/>
      <c r="B101" s="29"/>
      <c r="C101" s="29"/>
      <c r="D101" s="29"/>
      <c r="E101" s="29"/>
      <c r="F101" s="29"/>
      <c r="G101" s="29"/>
      <c r="H101" s="54"/>
    </row>
    <row r="102" spans="1:8" ht="17" customHeight="1" x14ac:dyDescent="0.25">
      <c r="A102" s="10"/>
    </row>
    <row r="103" spans="1:8" ht="17" customHeight="1" x14ac:dyDescent="0.25">
      <c r="A103" s="10"/>
    </row>
    <row r="104" spans="1:8" ht="22" x14ac:dyDescent="0.3">
      <c r="A104" s="41" t="s">
        <v>310</v>
      </c>
      <c r="B104" s="42">
        <f>B99+B76</f>
        <v>79</v>
      </c>
      <c r="E104" s="41" t="s">
        <v>315</v>
      </c>
      <c r="F104" s="43">
        <f>F99+F76</f>
        <v>510</v>
      </c>
    </row>
    <row r="105" spans="1:8" x14ac:dyDescent="0.25">
      <c r="C105" s="2"/>
      <c r="D105" s="1"/>
    </row>
    <row r="107" spans="1:8" ht="22" x14ac:dyDescent="0.3">
      <c r="A107" s="21" t="s">
        <v>278</v>
      </c>
      <c r="B107" s="9"/>
      <c r="C107" s="9"/>
      <c r="D107" s="9"/>
      <c r="E107" s="9"/>
      <c r="F107" s="9"/>
      <c r="G107" s="9"/>
      <c r="H107" s="55"/>
    </row>
    <row r="108" spans="1:8" x14ac:dyDescent="0.25">
      <c r="A108" s="49" t="s">
        <v>158</v>
      </c>
      <c r="B108" s="49" t="s">
        <v>162</v>
      </c>
      <c r="C108" s="49" t="s">
        <v>160</v>
      </c>
      <c r="D108" s="1" t="s">
        <v>161</v>
      </c>
      <c r="E108" s="49" t="s">
        <v>159</v>
      </c>
      <c r="F108">
        <v>4</v>
      </c>
      <c r="H108" s="24">
        <v>4</v>
      </c>
    </row>
    <row r="109" spans="1:8" x14ac:dyDescent="0.25">
      <c r="A109" s="49" t="s">
        <v>84</v>
      </c>
      <c r="B109" s="49" t="s">
        <v>85</v>
      </c>
      <c r="C109" s="49" t="s">
        <v>86</v>
      </c>
      <c r="D109" s="1" t="s">
        <v>88</v>
      </c>
      <c r="E109" s="49" t="s">
        <v>87</v>
      </c>
      <c r="F109">
        <v>1</v>
      </c>
    </row>
    <row r="110" spans="1:8" x14ac:dyDescent="0.25">
      <c r="A110" s="36" t="s">
        <v>230</v>
      </c>
      <c r="B110" s="36" t="s">
        <v>347</v>
      </c>
      <c r="C110" s="36" t="s">
        <v>229</v>
      </c>
      <c r="D110" s="36" t="s">
        <v>232</v>
      </c>
      <c r="E110" s="36" t="s">
        <v>233</v>
      </c>
      <c r="F110" s="36">
        <v>1</v>
      </c>
      <c r="G110" s="36"/>
    </row>
    <row r="112" spans="1:8" ht="31" customHeight="1" x14ac:dyDescent="0.3">
      <c r="A112" s="27" t="s">
        <v>317</v>
      </c>
      <c r="B112" s="40">
        <v>3</v>
      </c>
      <c r="E112" s="30" t="s">
        <v>318</v>
      </c>
      <c r="F112" s="40">
        <f>SUM(F108:F110)</f>
        <v>6</v>
      </c>
    </row>
    <row r="116" ht="44" customHeight="1" x14ac:dyDescent="0.25"/>
    <row r="117" ht="26" customHeight="1" x14ac:dyDescent="0.25"/>
    <row r="130" ht="26" customHeight="1" x14ac:dyDescent="0.25"/>
    <row r="137" ht="30" customHeight="1" x14ac:dyDescent="0.25"/>
    <row r="141" ht="29" customHeight="1" x14ac:dyDescent="0.25"/>
    <row r="146" ht="25" customHeight="1" x14ac:dyDescent="0.25"/>
  </sheetData>
  <hyperlinks>
    <hyperlink ref="D71" r:id="rId1" xr:uid="{C6289CF4-3D58-5744-9362-0625725F3470}"/>
    <hyperlink ref="D72" r:id="rId2" xr:uid="{3A2351DB-D884-D742-A55F-EA2C708DAD0C}"/>
    <hyperlink ref="D63" r:id="rId3" xr:uid="{39451482-5524-6E42-85A1-7B14C00BF3AC}"/>
    <hyperlink ref="D8" r:id="rId4" xr:uid="{DDAC4E39-210F-C541-8735-07B0EFE25397}"/>
    <hyperlink ref="D9" r:id="rId5" xr:uid="{02EBF406-0DC8-E341-8024-D8798E95CF92}"/>
    <hyperlink ref="D10" r:id="rId6" xr:uid="{CD5B6033-507D-984D-B46E-96654A3E9C3A}"/>
    <hyperlink ref="D11" r:id="rId7" xr:uid="{47917F88-7984-6746-AEC6-7DB4859015F4}"/>
    <hyperlink ref="D14" r:id="rId8" xr:uid="{D486B836-4EFF-FE46-A148-A5721A15A01B}"/>
    <hyperlink ref="D15" r:id="rId9" xr:uid="{B41DAF9E-B4E1-4142-93DD-3C3242442E70}"/>
    <hyperlink ref="D16" r:id="rId10" xr:uid="{5DE410E2-69AD-E940-84E0-CB20BE387D28}"/>
    <hyperlink ref="D17" r:id="rId11" xr:uid="{14121FBC-9754-4149-8D5C-A726F0704A2D}"/>
    <hyperlink ref="D19" r:id="rId12" xr:uid="{7F759CBB-45A5-DF41-A512-255ED35529A1}"/>
    <hyperlink ref="D21" r:id="rId13" xr:uid="{A76CD7F0-B759-2343-9D04-5EC2807207FB}"/>
    <hyperlink ref="D22" r:id="rId14" xr:uid="{69C94828-B240-F04C-86BF-A90862176CF5}"/>
    <hyperlink ref="D109" r:id="rId15" xr:uid="{3DA8D523-BD96-4B47-B955-42B1DAC81DE9}"/>
    <hyperlink ref="D23" r:id="rId16" xr:uid="{0AD1CC0B-759B-5546-BFEB-18FB323C716B}"/>
    <hyperlink ref="D24" r:id="rId17" xr:uid="{2A4F16B2-A480-5C42-9CB5-7E0DEA524595}"/>
    <hyperlink ref="D25" r:id="rId18" xr:uid="{BCF1E1EE-DCF9-134B-B41C-90C6C2197D04}"/>
    <hyperlink ref="D26" r:id="rId19" xr:uid="{DEA4D0F4-485D-2548-B119-430BE4232E54}"/>
    <hyperlink ref="D29" r:id="rId20" xr:uid="{AEFF5C57-A3AD-C44B-8DEE-769ABCFC246A}"/>
    <hyperlink ref="D32" r:id="rId21" xr:uid="{E866ADED-E8B0-A743-B1A3-6CE71E605289}"/>
    <hyperlink ref="D33" r:id="rId22" xr:uid="{164E5A01-5823-0349-8377-2314D87ACDCD}"/>
    <hyperlink ref="D34" r:id="rId23" xr:uid="{9FF8FAD7-4C4C-DA47-8D37-7CF18D29E8E6}"/>
    <hyperlink ref="D6" r:id="rId24" xr:uid="{8C0DDABB-BD0C-A044-88DA-CC877F8F2C2C}"/>
    <hyperlink ref="D35" r:id="rId25" xr:uid="{BE7A8CAF-16AB-C447-B59B-BBEA57C183C7}"/>
    <hyperlink ref="D37" r:id="rId26" xr:uid="{3001E8AD-FB1F-C049-A83B-49A48FC993B7}"/>
    <hyperlink ref="D7" r:id="rId27" xr:uid="{A04BCC2E-5BBC-BF46-8E84-2BD61D6DCEC8}"/>
    <hyperlink ref="D38" r:id="rId28" xr:uid="{42F1D9EF-536C-5041-A4BC-1422587A5BF6}"/>
    <hyperlink ref="D12" r:id="rId29" xr:uid="{96572189-0537-BD47-822A-C0A83CF70B41}"/>
    <hyperlink ref="D13" r:id="rId30" xr:uid="{B427F10D-CD64-3544-94EB-70D6AD2C24B1}"/>
    <hyperlink ref="D108" r:id="rId31" xr:uid="{35FBF8AB-AEC1-4347-B832-BFFB923D9D15}"/>
    <hyperlink ref="D39" r:id="rId32" xr:uid="{3C6EEC09-E474-6249-A03E-9443CA7211B2}"/>
    <hyperlink ref="D40" r:id="rId33" xr:uid="{FBC72993-805D-A043-8140-4F4CCBB65BC7}"/>
    <hyperlink ref="D41" r:id="rId34" xr:uid="{934036E4-74CE-154E-954C-12AC90892712}"/>
    <hyperlink ref="D42" r:id="rId35" xr:uid="{7A04DEAD-616E-EE49-9CCF-788B158B5EF4}"/>
    <hyperlink ref="D18" r:id="rId36" xr:uid="{70345059-A047-0848-9B79-5BD3F22FE941}"/>
    <hyperlink ref="D54" r:id="rId37" xr:uid="{9E9F67A4-4B1E-C945-834C-3B1B53EDA586}"/>
    <hyperlink ref="D55" r:id="rId38" xr:uid="{CD2A2FDE-6CFD-2F49-9F5A-C87A85323E50}"/>
    <hyperlink ref="D56" r:id="rId39" xr:uid="{9721B9C6-B042-A743-A355-1ACCA63F7752}"/>
    <hyperlink ref="D57" r:id="rId40" xr:uid="{F8DDE057-A633-1B44-AD8A-16832398DEF6}"/>
    <hyperlink ref="D58" r:id="rId41" xr:uid="{39A6BE28-BCC7-EC44-A89E-AE27AEF2B1DF}"/>
    <hyperlink ref="D80" r:id="rId42" xr:uid="{CB987FCD-0DD6-A24B-B018-3EFAA99DC6F8}"/>
    <hyperlink ref="D81" r:id="rId43" xr:uid="{8B2EAE3F-C372-BF42-B748-BBBE40BBE050}"/>
    <hyperlink ref="D82" r:id="rId44" display="mailto:daniel.seguin@cineplex.com" xr:uid="{6F7C74FC-0664-0943-AA99-09D28BC51542}"/>
    <hyperlink ref="D83" r:id="rId45" display="mailto:daniel.seguin@cineplex.com" xr:uid="{E3173C5C-EC82-C34E-B6B8-F2711A4963B6}"/>
    <hyperlink ref="D84" r:id="rId46" xr:uid="{A7EBAC25-132A-5447-B83C-F84776C7AA95}"/>
    <hyperlink ref="D85" r:id="rId47" xr:uid="{1CF4C749-EA2B-804E-9E0D-6DBB289E852F}"/>
    <hyperlink ref="D86" r:id="rId48" xr:uid="{63D21FCD-0EDC-D04A-B5AC-30C548CB79A9}"/>
    <hyperlink ref="D87" r:id="rId49" xr:uid="{BDE0D890-0D8D-9D4B-9F59-243B7D0D3EAD}"/>
    <hyperlink ref="D88" r:id="rId50" xr:uid="{39BA286E-9DB3-5443-B9C3-82C6786BE943}"/>
    <hyperlink ref="D89" r:id="rId51" xr:uid="{94BDA07B-B19D-6A48-A602-C03A516405CB}"/>
    <hyperlink ref="D90" r:id="rId52" xr:uid="{436F0F51-D7D4-D443-ACC3-AD160E19F8F9}"/>
    <hyperlink ref="D91" r:id="rId53" xr:uid="{EE24ECCD-4427-374F-AAC8-38914859660C}"/>
    <hyperlink ref="D92" r:id="rId54" xr:uid="{C3E36F7E-4399-3444-A1D8-F1ADC6AEBB3A}"/>
    <hyperlink ref="D93" r:id="rId55" xr:uid="{F675A065-56D7-574F-87CD-B0AFB1939556}"/>
    <hyperlink ref="D94" r:id="rId56" xr:uid="{9EEE6089-EDCF-B74D-A2CE-231BF7C002A3}"/>
    <hyperlink ref="D95" r:id="rId57" xr:uid="{98D79D6E-7AE8-E949-A9C8-6C517BD0939A}"/>
    <hyperlink ref="D48" r:id="rId58" display="mailto:yfontaine@azurdivertissements.com" xr:uid="{98C4D108-187F-8A4A-9231-EED4C4E8150C}"/>
    <hyperlink ref="D51" r:id="rId59" xr:uid="{723D0847-03C6-4741-95ED-8407D29D9524}"/>
    <hyperlink ref="D64" r:id="rId60" xr:uid="{87EF3DB6-B4A9-7C43-9FB4-241883CC0882}"/>
    <hyperlink ref="D65" r:id="rId61" xr:uid="{EC3B5085-8C41-404D-AB88-7C4EF93C52B5}"/>
    <hyperlink ref="D66" r:id="rId62" xr:uid="{3094ABA9-8CD7-FF4A-A4C1-450A0D15C154}"/>
    <hyperlink ref="D67" r:id="rId63" xr:uid="{899DA540-80EE-224F-B360-8BB60C369CEB}"/>
    <hyperlink ref="D68" r:id="rId64" xr:uid="{7A75850B-05C2-DD46-B5A1-FCF4E85C0243}"/>
    <hyperlink ref="D20" r:id="rId65" xr:uid="{6FADD54A-B221-5C4B-9391-6E435219A17E}"/>
    <hyperlink ref="D96" r:id="rId66" xr:uid="{69D03114-59FC-8845-92A4-6B28C244192B}"/>
    <hyperlink ref="D45:D47" r:id="rId67" display="princesse.345@videotron.ca" xr:uid="{1E8AD968-6D43-4856-B359-26D27435AD37}"/>
    <hyperlink ref="D49" r:id="rId68" display="princesse.345@videotron.ca" xr:uid="{5D8A14D8-3409-4CBC-B106-30C6DF4CD62B}"/>
    <hyperlink ref="D50" r:id="rId69" display="princesse.345@videotron.ca" xr:uid="{E9C2D456-850D-4345-8EB1-49FB8D90195A}"/>
    <hyperlink ref="D97" r:id="rId70" xr:uid="{3C6F5716-7BC4-4BC5-AD54-A8A7CFD4B734}"/>
    <hyperlink ref="D30" r:id="rId71" xr:uid="{46B24F78-F70F-4D2F-BC2A-7164E43660B4}"/>
    <hyperlink ref="D31" r:id="rId72" xr:uid="{B2FBD587-5B72-304B-A333-F6F6029F27AE}"/>
    <hyperlink ref="D27" r:id="rId73" xr:uid="{C5A69447-D7CB-5A40-8D91-EEA140307615}"/>
    <hyperlink ref="D28" r:id="rId74" xr:uid="{E56DDFEB-D7AC-6148-A08F-400CAB9AA1ED}"/>
    <hyperlink ref="D5" r:id="rId75" xr:uid="{F606EC46-3887-294B-BC4D-FF188D802C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15FA-DC6A-1646-852E-975F265650BA}">
  <dimension ref="A1:H36"/>
  <sheetViews>
    <sheetView workbookViewId="0">
      <selection activeCell="L23" sqref="L23"/>
    </sheetView>
  </sheetViews>
  <sheetFormatPr baseColWidth="10" defaultColWidth="11" defaultRowHeight="16" x14ac:dyDescent="0.2"/>
  <cols>
    <col min="1" max="1" width="34.6640625" customWidth="1"/>
    <col min="2" max="2" width="27.33203125" customWidth="1"/>
    <col min="3" max="3" width="26.6640625" customWidth="1"/>
    <col min="4" max="4" width="20.33203125" customWidth="1"/>
    <col min="5" max="5" width="25.5" customWidth="1"/>
    <col min="6" max="6" width="22" customWidth="1"/>
    <col min="7" max="7" width="17.83203125" customWidth="1"/>
  </cols>
  <sheetData>
    <row r="1" spans="1:8" ht="33" customHeight="1" x14ac:dyDescent="0.35">
      <c r="A1" s="6" t="s">
        <v>235</v>
      </c>
      <c r="B1" s="7"/>
      <c r="C1" s="7"/>
      <c r="D1" s="7"/>
      <c r="E1" s="7"/>
      <c r="F1" s="7"/>
      <c r="G1" s="7"/>
      <c r="H1" s="7"/>
    </row>
    <row r="2" spans="1:8" s="8" customFormat="1" ht="19" x14ac:dyDescent="0.25">
      <c r="A2" s="48" t="s">
        <v>341</v>
      </c>
      <c r="B2" s="48" t="s">
        <v>2</v>
      </c>
      <c r="C2" s="48" t="s">
        <v>0</v>
      </c>
      <c r="D2" s="48" t="s">
        <v>3</v>
      </c>
      <c r="E2" s="48" t="s">
        <v>6</v>
      </c>
      <c r="F2" s="48" t="s">
        <v>133</v>
      </c>
      <c r="G2" s="48" t="s">
        <v>340</v>
      </c>
      <c r="H2" s="48" t="s">
        <v>336</v>
      </c>
    </row>
    <row r="3" spans="1:8" s="8" customFormat="1" ht="19" x14ac:dyDescent="0.25">
      <c r="A3" s="48"/>
      <c r="B3" s="48"/>
      <c r="C3" s="48"/>
      <c r="D3" s="48"/>
      <c r="E3" s="48"/>
      <c r="F3" s="48"/>
      <c r="G3" s="48"/>
      <c r="H3" s="48"/>
    </row>
    <row r="4" spans="1:8" ht="22" x14ac:dyDescent="0.3">
      <c r="A4" s="17" t="s">
        <v>308</v>
      </c>
      <c r="B4" s="18"/>
      <c r="C4" s="18"/>
      <c r="D4" s="18"/>
      <c r="E4" s="18"/>
      <c r="F4" s="18"/>
      <c r="G4" s="18"/>
      <c r="H4" s="47"/>
    </row>
    <row r="5" spans="1:8" x14ac:dyDescent="0.2">
      <c r="A5" t="s">
        <v>236</v>
      </c>
      <c r="B5" t="s">
        <v>44</v>
      </c>
      <c r="D5" s="19" t="s">
        <v>291</v>
      </c>
      <c r="E5" t="s">
        <v>290</v>
      </c>
      <c r="F5">
        <v>2</v>
      </c>
    </row>
    <row r="6" spans="1:8" x14ac:dyDescent="0.2">
      <c r="A6" t="s">
        <v>237</v>
      </c>
      <c r="B6" t="s">
        <v>44</v>
      </c>
      <c r="D6" t="s">
        <v>288</v>
      </c>
      <c r="E6" t="s">
        <v>289</v>
      </c>
      <c r="F6">
        <v>2</v>
      </c>
      <c r="G6" t="s">
        <v>287</v>
      </c>
    </row>
    <row r="7" spans="1:8" x14ac:dyDescent="0.2">
      <c r="A7" t="s">
        <v>238</v>
      </c>
      <c r="B7" t="s">
        <v>44</v>
      </c>
      <c r="D7" s="19" t="s">
        <v>296</v>
      </c>
      <c r="E7" t="s">
        <v>297</v>
      </c>
      <c r="F7">
        <v>1</v>
      </c>
      <c r="G7">
        <v>375</v>
      </c>
    </row>
    <row r="8" spans="1:8" x14ac:dyDescent="0.2">
      <c r="A8" t="s">
        <v>292</v>
      </c>
      <c r="B8" t="s">
        <v>262</v>
      </c>
      <c r="C8" t="s">
        <v>295</v>
      </c>
      <c r="D8" s="19" t="s">
        <v>294</v>
      </c>
      <c r="E8" t="s">
        <v>293</v>
      </c>
      <c r="F8">
        <v>1</v>
      </c>
    </row>
    <row r="9" spans="1:8" x14ac:dyDescent="0.2">
      <c r="A9" t="s">
        <v>239</v>
      </c>
      <c r="B9" t="s">
        <v>259</v>
      </c>
      <c r="D9" s="19" t="s">
        <v>280</v>
      </c>
      <c r="E9" t="s">
        <v>279</v>
      </c>
      <c r="F9">
        <v>1</v>
      </c>
      <c r="H9">
        <v>2</v>
      </c>
    </row>
    <row r="10" spans="1:8" x14ac:dyDescent="0.2">
      <c r="A10" t="s">
        <v>240</v>
      </c>
      <c r="B10" t="s">
        <v>260</v>
      </c>
      <c r="E10" t="s">
        <v>281</v>
      </c>
      <c r="F10">
        <v>1</v>
      </c>
    </row>
    <row r="11" spans="1:8" x14ac:dyDescent="0.2">
      <c r="A11" t="s">
        <v>241</v>
      </c>
      <c r="B11" t="s">
        <v>263</v>
      </c>
      <c r="C11" t="s">
        <v>283</v>
      </c>
      <c r="D11" s="19" t="s">
        <v>284</v>
      </c>
      <c r="E11" t="s">
        <v>282</v>
      </c>
      <c r="F11">
        <v>2</v>
      </c>
    </row>
    <row r="12" spans="1:8" x14ac:dyDescent="0.2">
      <c r="A12" t="s">
        <v>243</v>
      </c>
      <c r="B12" t="s">
        <v>261</v>
      </c>
      <c r="D12" s="19" t="s">
        <v>286</v>
      </c>
      <c r="E12" t="s">
        <v>285</v>
      </c>
      <c r="F12">
        <v>1</v>
      </c>
    </row>
    <row r="13" spans="1:8" x14ac:dyDescent="0.2">
      <c r="A13" t="s">
        <v>271</v>
      </c>
      <c r="B13" t="s">
        <v>44</v>
      </c>
      <c r="C13" t="s">
        <v>272</v>
      </c>
      <c r="E13" t="s">
        <v>273</v>
      </c>
      <c r="F13">
        <v>1</v>
      </c>
      <c r="G13">
        <v>380</v>
      </c>
    </row>
    <row r="14" spans="1:8" x14ac:dyDescent="0.2">
      <c r="A14" t="s">
        <v>244</v>
      </c>
      <c r="B14" t="s">
        <v>274</v>
      </c>
      <c r="C14" t="s">
        <v>275</v>
      </c>
      <c r="D14" t="s">
        <v>276</v>
      </c>
      <c r="E14" t="s">
        <v>277</v>
      </c>
      <c r="F14">
        <v>3</v>
      </c>
    </row>
    <row r="15" spans="1:8" x14ac:dyDescent="0.2">
      <c r="A15" t="s">
        <v>264</v>
      </c>
      <c r="B15" t="s">
        <v>268</v>
      </c>
      <c r="C15" t="s">
        <v>269</v>
      </c>
      <c r="D15" t="s">
        <v>270</v>
      </c>
      <c r="F15">
        <v>15</v>
      </c>
    </row>
    <row r="17" spans="1:7" ht="22" x14ac:dyDescent="0.3">
      <c r="A17" s="17" t="s">
        <v>301</v>
      </c>
      <c r="B17" s="18"/>
      <c r="C17" s="18"/>
      <c r="D17" s="18"/>
      <c r="E17" s="18"/>
      <c r="F17" s="18"/>
      <c r="G17" s="18"/>
    </row>
    <row r="18" spans="1:7" x14ac:dyDescent="0.2">
      <c r="A18" t="s">
        <v>248</v>
      </c>
      <c r="B18" t="s">
        <v>44</v>
      </c>
      <c r="C18" t="s">
        <v>256</v>
      </c>
      <c r="D18" s="1" t="s">
        <v>258</v>
      </c>
      <c r="E18" t="s">
        <v>257</v>
      </c>
      <c r="F18">
        <v>7</v>
      </c>
    </row>
    <row r="19" spans="1:7" x14ac:dyDescent="0.2">
      <c r="A19" t="s">
        <v>249</v>
      </c>
      <c r="B19" t="s">
        <v>254</v>
      </c>
      <c r="C19" t="s">
        <v>256</v>
      </c>
      <c r="D19" s="1" t="s">
        <v>258</v>
      </c>
      <c r="E19" t="s">
        <v>257</v>
      </c>
      <c r="F19">
        <v>8</v>
      </c>
    </row>
    <row r="20" spans="1:7" x14ac:dyDescent="0.2">
      <c r="A20" t="s">
        <v>250</v>
      </c>
      <c r="B20" t="s">
        <v>255</v>
      </c>
      <c r="C20" t="s">
        <v>256</v>
      </c>
      <c r="D20" s="1" t="s">
        <v>258</v>
      </c>
      <c r="E20" t="s">
        <v>257</v>
      </c>
      <c r="F20">
        <v>6</v>
      </c>
    </row>
    <row r="21" spans="1:7" x14ac:dyDescent="0.2">
      <c r="A21" t="s">
        <v>265</v>
      </c>
      <c r="B21" t="s">
        <v>205</v>
      </c>
      <c r="C21" t="s">
        <v>256</v>
      </c>
      <c r="D21" t="s">
        <v>258</v>
      </c>
      <c r="E21" t="s">
        <v>257</v>
      </c>
      <c r="F21">
        <v>18</v>
      </c>
    </row>
    <row r="22" spans="1:7" x14ac:dyDescent="0.2">
      <c r="A22" t="s">
        <v>266</v>
      </c>
      <c r="B22" t="s">
        <v>267</v>
      </c>
      <c r="C22" t="s">
        <v>256</v>
      </c>
      <c r="D22" t="s">
        <v>258</v>
      </c>
      <c r="E22" t="s">
        <v>257</v>
      </c>
      <c r="F22">
        <v>14</v>
      </c>
    </row>
    <row r="24" spans="1:7" ht="20" x14ac:dyDescent="0.25">
      <c r="A24" s="26" t="s">
        <v>309</v>
      </c>
      <c r="B24" s="18"/>
      <c r="C24" s="18"/>
      <c r="D24" s="18"/>
      <c r="E24" s="18"/>
      <c r="F24" s="18"/>
      <c r="G24" s="18"/>
    </row>
    <row r="25" spans="1:7" x14ac:dyDescent="0.2">
      <c r="A25" t="s">
        <v>242</v>
      </c>
      <c r="B25" t="s">
        <v>184</v>
      </c>
      <c r="C25" s="8" t="s">
        <v>307</v>
      </c>
      <c r="D25" s="1" t="s">
        <v>305</v>
      </c>
      <c r="E25" t="s">
        <v>306</v>
      </c>
      <c r="F25">
        <v>5</v>
      </c>
    </row>
    <row r="28" spans="1:7" ht="22" x14ac:dyDescent="0.3">
      <c r="A28" s="41" t="s">
        <v>320</v>
      </c>
      <c r="B28" s="44">
        <v>17</v>
      </c>
      <c r="E28" s="41" t="s">
        <v>311</v>
      </c>
      <c r="F28" s="44">
        <f>SUM(F5:F25)</f>
        <v>88</v>
      </c>
    </row>
    <row r="33" spans="1:7" ht="22" x14ac:dyDescent="0.3">
      <c r="A33" s="31" t="s">
        <v>319</v>
      </c>
      <c r="B33" s="18"/>
      <c r="C33" s="18"/>
      <c r="D33" s="18"/>
      <c r="E33" s="18"/>
      <c r="F33" s="18"/>
      <c r="G33" s="18"/>
    </row>
    <row r="34" spans="1:7" x14ac:dyDescent="0.2">
      <c r="A34" t="s">
        <v>245</v>
      </c>
      <c r="B34" t="s">
        <v>251</v>
      </c>
      <c r="C34" t="s">
        <v>256</v>
      </c>
      <c r="D34" s="1" t="s">
        <v>258</v>
      </c>
      <c r="E34" t="s">
        <v>257</v>
      </c>
    </row>
    <row r="35" spans="1:7" x14ac:dyDescent="0.2">
      <c r="A35" t="s">
        <v>246</v>
      </c>
      <c r="B35" t="s">
        <v>252</v>
      </c>
      <c r="C35" t="s">
        <v>256</v>
      </c>
      <c r="D35" s="1" t="s">
        <v>258</v>
      </c>
      <c r="E35" t="s">
        <v>257</v>
      </c>
    </row>
    <row r="36" spans="1:7" x14ac:dyDescent="0.2">
      <c r="A36" t="s">
        <v>247</v>
      </c>
      <c r="B36" t="s">
        <v>253</v>
      </c>
      <c r="C36" t="s">
        <v>256</v>
      </c>
      <c r="D36" s="1" t="s">
        <v>258</v>
      </c>
      <c r="E36" t="s">
        <v>257</v>
      </c>
    </row>
  </sheetData>
  <hyperlinks>
    <hyperlink ref="D34" r:id="rId1" xr:uid="{2F78E0AF-37B7-6248-BFCB-DB4770B667BD}"/>
    <hyperlink ref="D35" r:id="rId2" xr:uid="{D7F7001F-43C7-844C-8B5A-3CC694D59DDF}"/>
    <hyperlink ref="D36" r:id="rId3" xr:uid="{A1751FBB-E52D-724B-9073-FBBA3B4A1E4D}"/>
    <hyperlink ref="D18" r:id="rId4" xr:uid="{2E75EBA4-0F8F-F74C-84F0-5F2A741DE323}"/>
    <hyperlink ref="D19" r:id="rId5" xr:uid="{366CB109-0409-FA4F-9EE2-324CBBB69A42}"/>
    <hyperlink ref="D20" r:id="rId6" xr:uid="{28843215-A14B-764D-8CA0-B80654CE6CD7}"/>
    <hyperlink ref="D15" r:id="rId7" xr:uid="{65C05C67-CD31-8E4D-A6DC-C9276C85FF0C}"/>
    <hyperlink ref="D14" r:id="rId8" xr:uid="{BA102F2B-3064-A047-8CDF-3BE73B7AE2CC}"/>
    <hyperlink ref="D9" r:id="rId9" xr:uid="{20342B53-6D45-8E46-B606-DACA1DA3706F}"/>
    <hyperlink ref="D11" r:id="rId10" xr:uid="{7C5F5DBB-4A70-3946-846C-0D8D94172683}"/>
    <hyperlink ref="D5" r:id="rId11" xr:uid="{A044D0F8-C490-BD43-AD39-E08CC2750D04}"/>
    <hyperlink ref="D8" r:id="rId12" xr:uid="{C961012D-5FCC-7F4D-9696-D664167D55A9}"/>
    <hyperlink ref="D7" r:id="rId13" xr:uid="{21CE7F96-F32A-0E46-9B82-0B70BBE49A17}"/>
    <hyperlink ref="D25" r:id="rId14" xr:uid="{96287962-5D06-0C40-8DD9-451365F21C6E}"/>
    <hyperlink ref="D12" r:id="rId15" xr:uid="{ED85F685-01BE-304B-8747-7B50225ABB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Membres</vt:lpstr>
      <vt:lpstr>Non-membres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APCQ</dc:creator>
  <cp:lastModifiedBy>Info APCQ</cp:lastModifiedBy>
  <dcterms:created xsi:type="dcterms:W3CDTF">2025-09-17T18:10:08Z</dcterms:created>
  <dcterms:modified xsi:type="dcterms:W3CDTF">2026-06-17T17:57:20Z</dcterms:modified>
</cp:coreProperties>
</file>